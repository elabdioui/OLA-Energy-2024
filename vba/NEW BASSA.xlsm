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vba\"/>
    </mc:Choice>
  </mc:AlternateContent>
  <xr:revisionPtr revIDLastSave="0" documentId="13_ncr:1_{039089EF-05A0-4B24-8E61-E6B37AC7B956}" xr6:coauthVersionLast="47" xr6:coauthVersionMax="47" xr10:uidLastSave="{00000000-0000-0000-0000-000000000000}"/>
  <bookViews>
    <workbookView xWindow="-108" yWindow="-108" windowWidth="23256" windowHeight="12576" xr2:uid="{F54203C6-D9FC-4915-873A-B59B9E32CC92}"/>
  </bookViews>
  <sheets>
    <sheet name="MENU" sheetId="1" r:id="rId1"/>
    <sheet name="Daily inventory" sheetId="6" r:id="rId2"/>
    <sheet name="Inventory" sheetId="4" r:id="rId3"/>
    <sheet name="Movement Sheet" sheetId="2" r:id="rId4"/>
    <sheet name="Inventory Log" sheetId="3" state="hidden" r:id="rId5"/>
    <sheet name="Mouvement Log" sheetId="5" state="hidden" r:id="rId6"/>
    <sheet name="Data" sheetId="7" state="veryHidden" r:id="rId7"/>
  </sheets>
  <functionGroups builtInGroupCount="19"/>
  <definedNames>
    <definedName name="Clients">Data!$E$2:$E$113</definedName>
    <definedName name="Depot">Data!$C$2:$C$9</definedName>
    <definedName name="DropDownListRange" localSheetId="6">Data!$M$2:$M$16</definedName>
    <definedName name="Fournisseur">Data!$I$2:$I$5</definedName>
    <definedName name="Magasin">Data!$A$2:$A$8</definedName>
    <definedName name="Prestataire">Data!$K$2:$K$7</definedName>
    <definedName name="StationSRV">Data!$G$2:$G$80</definedName>
    <definedName name="_xlnm.Print_Area" localSheetId="1">'Daily inventory'!$B$2:$E$50</definedName>
    <definedName name="_xlnm.Print_Area" localSheetId="5">'Mouvement Log'!$A$1:$P$18</definedName>
    <definedName name="_xlnm.Print_Area" localSheetId="3">'Movement Sheet'!$E$4:$N$73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4" l="1"/>
  <c r="F13" i="4" l="1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D12" i="4"/>
  <c r="G13" i="4" l="1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12" i="4"/>
  <c r="D13" i="4"/>
  <c r="D14" i="4"/>
  <c r="D15" i="4"/>
  <c r="D16" i="4"/>
  <c r="D17" i="4"/>
  <c r="D18" i="4"/>
  <c r="D19" i="4"/>
  <c r="D20" i="4"/>
  <c r="H20" i="4" s="1"/>
  <c r="D21" i="4"/>
  <c r="D22" i="4"/>
  <c r="D23" i="4"/>
  <c r="D24" i="4"/>
  <c r="D25" i="4"/>
  <c r="D26" i="4"/>
  <c r="D27" i="4"/>
  <c r="D28" i="4"/>
  <c r="H28" i="4" s="1"/>
  <c r="D29" i="4"/>
  <c r="D30" i="4"/>
  <c r="D31" i="4"/>
  <c r="D32" i="4"/>
  <c r="D33" i="4"/>
  <c r="D34" i="4"/>
  <c r="D35" i="4"/>
  <c r="D36" i="4"/>
  <c r="H36" i="4" s="1"/>
  <c r="D37" i="4"/>
  <c r="D38" i="4"/>
  <c r="D39" i="4"/>
  <c r="D40" i="4"/>
  <c r="D41" i="4"/>
  <c r="D42" i="4"/>
  <c r="D43" i="4"/>
  <c r="D44" i="4"/>
  <c r="H44" i="4" s="1"/>
  <c r="D45" i="4"/>
  <c r="D46" i="4"/>
  <c r="D47" i="4"/>
  <c r="D48" i="4"/>
  <c r="D49" i="4"/>
  <c r="I36" i="4" l="1"/>
  <c r="I44" i="4"/>
  <c r="I28" i="4"/>
  <c r="I20" i="4"/>
  <c r="H46" i="4"/>
  <c r="I46" i="4" s="1"/>
  <c r="H38" i="4"/>
  <c r="I38" i="4" s="1"/>
  <c r="H30" i="4"/>
  <c r="I30" i="4" s="1"/>
  <c r="H22" i="4"/>
  <c r="I22" i="4" s="1"/>
  <c r="H14" i="4"/>
  <c r="I14" i="4" s="1"/>
  <c r="H43" i="4"/>
  <c r="I43" i="4" s="1"/>
  <c r="H35" i="4"/>
  <c r="I35" i="4" s="1"/>
  <c r="H27" i="4"/>
  <c r="I27" i="4" s="1"/>
  <c r="H19" i="4"/>
  <c r="I19" i="4" s="1"/>
  <c r="H12" i="4"/>
  <c r="I12" i="4" s="1"/>
  <c r="H42" i="4"/>
  <c r="I42" i="4" s="1"/>
  <c r="H34" i="4"/>
  <c r="I34" i="4" s="1"/>
  <c r="H26" i="4"/>
  <c r="I26" i="4" s="1"/>
  <c r="H18" i="4"/>
  <c r="I18" i="4" s="1"/>
  <c r="H49" i="4"/>
  <c r="I49" i="4" s="1"/>
  <c r="H41" i="4"/>
  <c r="I41" i="4" s="1"/>
  <c r="H33" i="4"/>
  <c r="I33" i="4" s="1"/>
  <c r="H25" i="4"/>
  <c r="I25" i="4" s="1"/>
  <c r="H17" i="4"/>
  <c r="I17" i="4" s="1"/>
  <c r="H45" i="4"/>
  <c r="I45" i="4" s="1"/>
  <c r="H37" i="4"/>
  <c r="I37" i="4" s="1"/>
  <c r="H29" i="4"/>
  <c r="I29" i="4" s="1"/>
  <c r="H21" i="4"/>
  <c r="I21" i="4" s="1"/>
  <c r="H13" i="4"/>
  <c r="I13" i="4" s="1"/>
  <c r="H48" i="4"/>
  <c r="I48" i="4" s="1"/>
  <c r="H40" i="4"/>
  <c r="I40" i="4" s="1"/>
  <c r="H32" i="4"/>
  <c r="I32" i="4" s="1"/>
  <c r="H24" i="4"/>
  <c r="I24" i="4" s="1"/>
  <c r="H16" i="4"/>
  <c r="I16" i="4" s="1"/>
  <c r="H47" i="4"/>
  <c r="I47" i="4" s="1"/>
  <c r="H39" i="4"/>
  <c r="I39" i="4" s="1"/>
  <c r="H31" i="4"/>
  <c r="I31" i="4" s="1"/>
  <c r="H23" i="4"/>
  <c r="I23" i="4" s="1"/>
  <c r="H15" i="4"/>
  <c r="I15" i="4" s="1"/>
</calcChain>
</file>

<file path=xl/sharedStrings.xml><?xml version="1.0" encoding="utf-8"?>
<sst xmlns="http://schemas.openxmlformats.org/spreadsheetml/2006/main" count="942" uniqueCount="440">
  <si>
    <t>Sélectionnez une date début réconciliation</t>
  </si>
  <si>
    <t>Sélectionnez une date fin réconciliation</t>
  </si>
  <si>
    <t>Sélectionnez le magasin</t>
  </si>
  <si>
    <t>Sélectionnez le nom du magasin LPG</t>
  </si>
  <si>
    <t>Module de réconciliation opérations</t>
  </si>
  <si>
    <t>Article</t>
  </si>
  <si>
    <t>Emballage</t>
  </si>
  <si>
    <t>Bouteille pleine</t>
  </si>
  <si>
    <t>Bouteille 6KG</t>
  </si>
  <si>
    <t>Bouteilles vide en service</t>
  </si>
  <si>
    <t>Bouteille vide en consignation</t>
  </si>
  <si>
    <t>Bouteille fuyarde</t>
  </si>
  <si>
    <t>Bouteille à ré éprouver</t>
  </si>
  <si>
    <t>Bouteille à entretenir</t>
  </si>
  <si>
    <t>Bouteille à détruire</t>
  </si>
  <si>
    <t>Bouteille 12.5KG</t>
  </si>
  <si>
    <t>Bouteille 35KG</t>
  </si>
  <si>
    <t>Casier en bon état</t>
  </si>
  <si>
    <t>Casier 6KG</t>
  </si>
  <si>
    <t>Casier à entretenir</t>
  </si>
  <si>
    <t>Casier à réformer</t>
  </si>
  <si>
    <t>Casier 12.5KG</t>
  </si>
  <si>
    <t>Casier 35KG</t>
  </si>
  <si>
    <t>Robinet en bon état</t>
  </si>
  <si>
    <t>Robinet</t>
  </si>
  <si>
    <t>Robinet défectueux</t>
  </si>
  <si>
    <t>Boîte à clapet défectueux</t>
  </si>
  <si>
    <t>Boîte à clapet</t>
  </si>
  <si>
    <t>Boîte à clapet en bon état</t>
  </si>
  <si>
    <t>Ecrou</t>
  </si>
  <si>
    <t>Joint d'écrou</t>
  </si>
  <si>
    <t>Socle</t>
  </si>
  <si>
    <t>Ance</t>
  </si>
  <si>
    <t xml:space="preserve">Inventaire Physique d'ouverture
</t>
  </si>
  <si>
    <t xml:space="preserve">Mouvements d'entrée
</t>
  </si>
  <si>
    <t xml:space="preserve">Mouvements de sortie
</t>
  </si>
  <si>
    <t xml:space="preserve">Inventaire Physique de fermeture
</t>
  </si>
  <si>
    <r>
      <t>Inventaire Théorique Fin de Période</t>
    </r>
    <r>
      <rPr>
        <i/>
        <sz val="8"/>
        <color theme="1"/>
        <rFont val="Aptos Narrow"/>
        <family val="2"/>
        <scheme val="minor"/>
      </rPr>
      <t xml:space="preserve">  </t>
    </r>
  </si>
  <si>
    <t xml:space="preserve">Ecart
</t>
  </si>
  <si>
    <t xml:space="preserve">Type d'entite </t>
  </si>
  <si>
    <t xml:space="preserve">Nom d'entite </t>
  </si>
  <si>
    <t>Adresse</t>
  </si>
  <si>
    <t>Details du mouvement</t>
  </si>
  <si>
    <t>Quantite</t>
  </si>
  <si>
    <t>Marque</t>
  </si>
  <si>
    <t>Commentaire</t>
  </si>
  <si>
    <t>Destination</t>
  </si>
  <si>
    <t>Numero</t>
  </si>
  <si>
    <t>FA</t>
  </si>
  <si>
    <t>Gestionnaire de stock</t>
  </si>
  <si>
    <t>Affectation</t>
  </si>
  <si>
    <t>Expédition d'emballage</t>
  </si>
  <si>
    <t>Réception produit</t>
  </si>
  <si>
    <t>Transfert d'emballage</t>
  </si>
  <si>
    <t>Type de Mouvement</t>
  </si>
  <si>
    <t>Fiche de mouvement</t>
  </si>
  <si>
    <t>Date mouvement</t>
  </si>
  <si>
    <t>Source</t>
  </si>
  <si>
    <t>Agent de gardinnage</t>
  </si>
  <si>
    <t xml:space="preserve">Transporteur </t>
  </si>
  <si>
    <t xml:space="preserve"> Gestionnaire de stock</t>
  </si>
  <si>
    <t xml:space="preserve"> Agent de Gardiennage</t>
  </si>
  <si>
    <t xml:space="preserve"> Transporteur</t>
  </si>
  <si>
    <t xml:space="preserve"> Maillist des destinataires concernes</t>
  </si>
  <si>
    <t>x</t>
  </si>
  <si>
    <t>OLA Energy</t>
  </si>
  <si>
    <t>Régulier/Ajustement</t>
  </si>
  <si>
    <t>Régulier</t>
  </si>
  <si>
    <t>Heure de l'inventaire</t>
  </si>
  <si>
    <t>Type de l'inventaire</t>
  </si>
  <si>
    <t>Désignation</t>
  </si>
  <si>
    <r>
      <rPr>
        <b/>
        <sz val="10"/>
        <color theme="1"/>
        <rFont val="Aptos Narrow"/>
        <family val="2"/>
        <scheme val="minor"/>
      </rPr>
      <t>Qauntité la plus récentes</t>
    </r>
    <r>
      <rPr>
        <b/>
        <sz val="8"/>
        <color theme="1"/>
        <rFont val="Aptos Narrow"/>
        <family val="2"/>
        <scheme val="minor"/>
      </rPr>
      <t xml:space="preserve">
</t>
    </r>
  </si>
  <si>
    <r>
      <rPr>
        <b/>
        <sz val="11"/>
        <color theme="1"/>
        <rFont val="Aptos Narrow"/>
        <family val="2"/>
        <scheme val="minor"/>
      </rPr>
      <t>Stock variation</t>
    </r>
    <r>
      <rPr>
        <b/>
        <sz val="8"/>
        <color theme="1"/>
        <rFont val="Aptos Narrow"/>
        <family val="2"/>
        <scheme val="minor"/>
      </rPr>
      <t xml:space="preserve">
</t>
    </r>
  </si>
  <si>
    <t>Date</t>
  </si>
  <si>
    <t>Heure</t>
  </si>
  <si>
    <t>Type d'inventaire</t>
  </si>
  <si>
    <t>Quantité</t>
  </si>
  <si>
    <t>Expéditeur</t>
  </si>
  <si>
    <t>Saisie</t>
  </si>
  <si>
    <t>Fin d'activité</t>
  </si>
  <si>
    <t>hamid</t>
  </si>
  <si>
    <t>EXPEMB1</t>
  </si>
  <si>
    <t>Magasin</t>
  </si>
  <si>
    <t>Depot</t>
  </si>
  <si>
    <t>Clients</t>
  </si>
  <si>
    <t>StationSRV</t>
  </si>
  <si>
    <t>Fournisseur</t>
  </si>
  <si>
    <t>Prestataire</t>
  </si>
  <si>
    <t>Magasin GPL BAFOUSSAM Code N°425</t>
  </si>
  <si>
    <t>BOCOM GAZ DOUALA Dépôt N°498</t>
  </si>
  <si>
    <t>ABEREC LTD</t>
  </si>
  <si>
    <t>AHALA</t>
  </si>
  <si>
    <t>AMTROL Portugal</t>
  </si>
  <si>
    <t>CAMEROON ALERT SERVICE</t>
  </si>
  <si>
    <t>Magasin GPL BASSA Code N°415</t>
  </si>
  <si>
    <t>BOCOM GAZ YAOUNDE Dépôt N°499</t>
  </si>
  <si>
    <t>ADAX PETROLEUM</t>
  </si>
  <si>
    <t>AXE LOURD 1</t>
  </si>
  <si>
    <t>EVAS TURQUIE</t>
  </si>
  <si>
    <t>ENERGYZ</t>
  </si>
  <si>
    <t>Magasin GPL BERTOUA Code N°435</t>
  </si>
  <si>
    <t>SCDP GAZ BAFOUSSAM Dépôt N°428</t>
  </si>
  <si>
    <t>AFRICODIS</t>
  </si>
  <si>
    <t>AXE LOURD 2</t>
  </si>
  <si>
    <t>MULTIPLAST-CAM</t>
  </si>
  <si>
    <t>HYDRAC</t>
  </si>
  <si>
    <t>Magasin GPL GAROUA Code N°445</t>
  </si>
  <si>
    <t>SCDP GAZ BERTOUA Dépôt N°478</t>
  </si>
  <si>
    <t xml:space="preserve">Akam And Bobvalla Company Limited (A&amp;B Co Ltd) </t>
  </si>
  <si>
    <t>BAFANG</t>
  </si>
  <si>
    <t>SMPC THAILAND</t>
  </si>
  <si>
    <t>PETRO-SERVICE</t>
  </si>
  <si>
    <t>Magasin GPL YAOUNDE Code N°465</t>
  </si>
  <si>
    <t>SCDP GAZ DOUALA BONABERI Dépôt N°418</t>
  </si>
  <si>
    <t xml:space="preserve">ALIMENTATION NONO                                           </t>
  </si>
  <si>
    <t>BAFIA</t>
  </si>
  <si>
    <t>SGS</t>
  </si>
  <si>
    <t>Consignation Interne</t>
  </si>
  <si>
    <t>SCDP GAZ MAROUA Dépôt N°448</t>
  </si>
  <si>
    <t>BALUCO</t>
  </si>
  <si>
    <t>BANDJOUN</t>
  </si>
  <si>
    <t>ZALI SARL</t>
  </si>
  <si>
    <t>Déclassification Interne</t>
  </si>
  <si>
    <t>SCDP GAZ Ngaoundéré Dépôt N°458</t>
  </si>
  <si>
    <t xml:space="preserve">BISCUITERIE SAMUEL FOYOU                                    </t>
  </si>
  <si>
    <t>BANYO</t>
  </si>
  <si>
    <t>SCDP GAZ YAOUNDE Dépôt N°468</t>
  </si>
  <si>
    <t>Blessing Petroleum SA</t>
  </si>
  <si>
    <t>BASSA</t>
  </si>
  <si>
    <t>CCRC</t>
  </si>
  <si>
    <t>BASTOS</t>
  </si>
  <si>
    <t>CHOCOCAM</t>
  </si>
  <si>
    <t>BEACH</t>
  </si>
  <si>
    <t xml:space="preserve">BEKA </t>
  </si>
  <si>
    <t>Chris &amp; Co. Lubrigood</t>
  </si>
  <si>
    <t>BELABO</t>
  </si>
  <si>
    <t>CROSS MOTO Sarl</t>
  </si>
  <si>
    <t>BEPANDA</t>
  </si>
  <si>
    <t xml:space="preserve">DAGHELA GUSTAVE                                             </t>
  </si>
  <si>
    <t>BERTOUA</t>
  </si>
  <si>
    <t>DESTIN DU NOUN</t>
  </si>
  <si>
    <t>BIYEM-ASSI</t>
  </si>
  <si>
    <t xml:space="preserve">ERNAD SARL                                                  </t>
  </si>
  <si>
    <t>BONABERI</t>
  </si>
  <si>
    <t xml:space="preserve">ETA- AFRIQUE SARL                                           </t>
  </si>
  <si>
    <t>BONAKOUAMOUANG</t>
  </si>
  <si>
    <t xml:space="preserve">ETS  M.D. GAZ DISTRIBUTION                                  </t>
  </si>
  <si>
    <t>BONAMOUSSADI</t>
  </si>
  <si>
    <t>ETS ABOUBAKAR OUSMANOU</t>
  </si>
  <si>
    <t>BONENDALE</t>
  </si>
  <si>
    <t xml:space="preserve">ETS ABOUBAKAR OUSMANOU </t>
  </si>
  <si>
    <t>BONIS BERTOUA GD</t>
  </si>
  <si>
    <t>ETS ALIOU IBRAHIM</t>
  </si>
  <si>
    <t>BRAZZAVILLE</t>
  </si>
  <si>
    <t>ETS ASFESO</t>
  </si>
  <si>
    <t>BUEA</t>
  </si>
  <si>
    <t>ETS ATCHOUDA TCHEBEBIA ECLADOR</t>
  </si>
  <si>
    <t>CANTON BELL</t>
  </si>
  <si>
    <t xml:space="preserve">ETS BANDJA MENAGERE                                         </t>
  </si>
  <si>
    <t>COMMERCIAL AVENUE</t>
  </si>
  <si>
    <t>ETS BELLYNN</t>
  </si>
  <si>
    <t>DJOUNGOLO</t>
  </si>
  <si>
    <t>ETS BENIGAZ</t>
  </si>
  <si>
    <t>DSCHANG</t>
  </si>
  <si>
    <t xml:space="preserve">ETS BOUCHEU                                                 </t>
  </si>
  <si>
    <t>EBOLOWA</t>
  </si>
  <si>
    <t xml:space="preserve">ETS BRAHIM SALI </t>
  </si>
  <si>
    <t>EDEA</t>
  </si>
  <si>
    <t>ETS BRAHIM SALI </t>
  </si>
  <si>
    <t>EMANA</t>
  </si>
  <si>
    <t>ETS BUTA GAZ.</t>
  </si>
  <si>
    <t>ESSOMBA</t>
  </si>
  <si>
    <t>ETS DEULAH</t>
  </si>
  <si>
    <t>ESSOS</t>
  </si>
  <si>
    <t>ETS DJOUFFO ET GUY.</t>
  </si>
  <si>
    <t>GARE ROUTIERE</t>
  </si>
  <si>
    <t xml:space="preserve">ETS ESPACE PLANETE ELECTRONIQUE BAFOUSSAM                   </t>
  </si>
  <si>
    <t>GAROUA BOULAI</t>
  </si>
  <si>
    <t>ETS FAKAT</t>
  </si>
  <si>
    <t>KAELE</t>
  </si>
  <si>
    <t>ETS FEMMES DYNAMIQUES</t>
  </si>
  <si>
    <t>KONDENGUI</t>
  </si>
  <si>
    <t xml:space="preserve">ETS FOGUIENG MELO DUPLEX </t>
  </si>
  <si>
    <t>KOUME BERTOUA</t>
  </si>
  <si>
    <t xml:space="preserve">ETS FOKOU GRACE A GOD </t>
  </si>
  <si>
    <t>KUMBA</t>
  </si>
  <si>
    <t>ETS FRUITIER GAZ</t>
  </si>
  <si>
    <t>LECLERC</t>
  </si>
  <si>
    <t>ETS K.D GAZ</t>
  </si>
  <si>
    <t>LIMBE</t>
  </si>
  <si>
    <t>ETS K.M. GAZ</t>
  </si>
  <si>
    <t>LYCEE</t>
  </si>
  <si>
    <t>ETS KM GAZ</t>
  </si>
  <si>
    <t>MADAGASCAR</t>
  </si>
  <si>
    <t xml:space="preserve">ETS KONDEM GABRIEL </t>
  </si>
  <si>
    <t>MANJO</t>
  </si>
  <si>
    <t xml:space="preserve">ETS LA CONFIANCE                                            </t>
  </si>
  <si>
    <t>MAROUA</t>
  </si>
  <si>
    <t xml:space="preserve">ETS LA MAISON DU GAZ                                        </t>
  </si>
  <si>
    <t>MAROUA Djarengol</t>
  </si>
  <si>
    <t>ETS LIPAL</t>
  </si>
  <si>
    <t>MBALMAYO</t>
  </si>
  <si>
    <t>ETS M2A service Mohamadou Awalou</t>
  </si>
  <si>
    <t>MBANKOUOP</t>
  </si>
  <si>
    <t>ETS MATHURINO.</t>
  </si>
  <si>
    <t>MBOUDA</t>
  </si>
  <si>
    <t>ETS MFEPIT SALIFOU</t>
  </si>
  <si>
    <t>MEIGANGA</t>
  </si>
  <si>
    <t xml:space="preserve">ETS MODA </t>
  </si>
  <si>
    <t>MESSASSI</t>
  </si>
  <si>
    <t xml:space="preserve">ETS MOHAMADOU BACHIROU                                      </t>
  </si>
  <si>
    <t xml:space="preserve">MISSOLE </t>
  </si>
  <si>
    <t xml:space="preserve">ETS MUFOR                                                   </t>
  </si>
  <si>
    <t>MUTENGENE</t>
  </si>
  <si>
    <t>ETS NANA DAIROU</t>
  </si>
  <si>
    <t>MVAN MAGZI</t>
  </si>
  <si>
    <t xml:space="preserve">ETS NGAMI GAZ                                               </t>
  </si>
  <si>
    <t>MVOG-ADA</t>
  </si>
  <si>
    <t>ETS PASCALO AND DONALD</t>
  </si>
  <si>
    <t>MVOLYE</t>
  </si>
  <si>
    <t>ETS PUMFA.</t>
  </si>
  <si>
    <t>NASSARAO</t>
  </si>
  <si>
    <t xml:space="preserve">ETS SOCADIS                                                 </t>
  </si>
  <si>
    <t>NDIENGSO</t>
  </si>
  <si>
    <t xml:space="preserve">ETS SONFACK TATANFACK HERVE </t>
  </si>
  <si>
    <t>NDOKOTI</t>
  </si>
  <si>
    <t>ETS SONOBA</t>
  </si>
  <si>
    <t>NEW - MESSA</t>
  </si>
  <si>
    <t>ETS TADZUGUE</t>
  </si>
  <si>
    <t>NEW DEIDO</t>
  </si>
  <si>
    <t>ETS TAYO</t>
  </si>
  <si>
    <t>NGEME LIMBE</t>
  </si>
  <si>
    <t xml:space="preserve">ETS TOUSSIDES &amp; FILS                                        </t>
  </si>
  <si>
    <t>NJO NJO</t>
  </si>
  <si>
    <t>ETS VINA G</t>
  </si>
  <si>
    <t>NKOLBISSON</t>
  </si>
  <si>
    <t xml:space="preserve">ETS YIMENE ALAIN CLOVIS </t>
  </si>
  <si>
    <t>NKWEN</t>
  </si>
  <si>
    <t xml:space="preserve">ETS ZEMMO </t>
  </si>
  <si>
    <t>NOUVEL AEROPORT</t>
  </si>
  <si>
    <t>FBS</t>
  </si>
  <si>
    <t>NYALLA</t>
  </si>
  <si>
    <t>FUTHER MARKET CAMEROUN SA</t>
  </si>
  <si>
    <t>OBALA</t>
  </si>
  <si>
    <t xml:space="preserve">GERANCE VICTORIA                                            </t>
  </si>
  <si>
    <t>OMNISPORT</t>
  </si>
  <si>
    <t>GESC SARL</t>
  </si>
  <si>
    <t>PK 11 BASSA</t>
  </si>
  <si>
    <t xml:space="preserve">GLOBAL GAZ SERVICES YDE                                     </t>
  </si>
  <si>
    <t>ROND POINT EXPRESS</t>
  </si>
  <si>
    <t>GLOBAL VOYAGES Sarl</t>
  </si>
  <si>
    <t>ROUND ABOUT</t>
  </si>
  <si>
    <t>GROUPE TOFEUTOUO SARL.</t>
  </si>
  <si>
    <t>ROUTE FOUMBOT</t>
  </si>
  <si>
    <t xml:space="preserve">HOME DISTRIBUTION SERVICES </t>
  </si>
  <si>
    <t>ROUTE GARE</t>
  </si>
  <si>
    <t>HOTEL SAVANA</t>
  </si>
  <si>
    <t>SANGMELIMA</t>
  </si>
  <si>
    <t xml:space="preserve">JOCKY S/S GAZ YAOUNDE                                       </t>
  </si>
  <si>
    <t>SANTA BARBARA</t>
  </si>
  <si>
    <t xml:space="preserve">KAJERI ROBINSON NKAMTA </t>
  </si>
  <si>
    <t>Station test1</t>
  </si>
  <si>
    <t xml:space="preserve">KAMGUE TOGUE EPSE TOUOLAC                                   </t>
  </si>
  <si>
    <t>TROPICANA</t>
  </si>
  <si>
    <t xml:space="preserve">KENNE TSAGUE CARLOS CHARENT                                 </t>
  </si>
  <si>
    <t>UNIVERSITE</t>
  </si>
  <si>
    <t xml:space="preserve">KENTSACA DISTRIBUTEUR SARL </t>
  </si>
  <si>
    <t>UNIVERSITE  DANG</t>
  </si>
  <si>
    <t xml:space="preserve">LA BOUTIQUE DU GAZ                                          </t>
  </si>
  <si>
    <t>YELWA GD</t>
  </si>
  <si>
    <t>LE GRAND MOULIN</t>
  </si>
  <si>
    <t>LONTSIE RIGOBERT</t>
  </si>
  <si>
    <t xml:space="preserve">MENGEL France </t>
  </si>
  <si>
    <t xml:space="preserve">MIAH SARL </t>
  </si>
  <si>
    <t xml:space="preserve">MOUMI NUFI                                                  </t>
  </si>
  <si>
    <t>Neptune Oil SA</t>
  </si>
  <si>
    <t>NJOPMO FIDELE</t>
  </si>
  <si>
    <t>PHARMEDI CO</t>
  </si>
  <si>
    <t>PRESTATAIRE</t>
  </si>
  <si>
    <t>PRESTATAIRE - MIAH SARL</t>
  </si>
  <si>
    <t>PROMETAL</t>
  </si>
  <si>
    <t>PROMO GAZ ENTREPRISE</t>
  </si>
  <si>
    <t>PROPALM BOIS</t>
  </si>
  <si>
    <t>REHOBOT</t>
  </si>
  <si>
    <t>RETRAM TRADING</t>
  </si>
  <si>
    <t>SAFACAM</t>
  </si>
  <si>
    <t xml:space="preserve">SANDI - GAZ SARL                                            </t>
  </si>
  <si>
    <t>SCTL</t>
  </si>
  <si>
    <t>SEBC</t>
  </si>
  <si>
    <t>SOCABANE S</t>
  </si>
  <si>
    <t>SOCAPURSEL</t>
  </si>
  <si>
    <t xml:space="preserve">Societe De Routes et de Batiments (SOROUBAT) </t>
  </si>
  <si>
    <t xml:space="preserve">SOCIETE HELIOS SARL                                         </t>
  </si>
  <si>
    <t>SOCIETE SOTRADI SARL</t>
  </si>
  <si>
    <t xml:space="preserve">SODISCO                                                     </t>
  </si>
  <si>
    <t xml:space="preserve">SOTRACO SARL                                                </t>
  </si>
  <si>
    <t>SOTRADI SARL</t>
  </si>
  <si>
    <t xml:space="preserve">STE FOKOUA SARL                                             </t>
  </si>
  <si>
    <t>STE STRACO</t>
  </si>
  <si>
    <t>T.T.M S Sarl</t>
  </si>
  <si>
    <t xml:space="preserve">TCHUIKEP Epse NKAMGNIA Julienne ( LA PETITE MENAGERE)       </t>
  </si>
  <si>
    <t>UBC</t>
  </si>
  <si>
    <t xml:space="preserve">UNIVERSAL GAS LIMITED                                       </t>
  </si>
  <si>
    <t>Ajustement</t>
  </si>
  <si>
    <t>Quantité Inventorié</t>
  </si>
  <si>
    <t>gg</t>
  </si>
  <si>
    <t>ggg</t>
  </si>
  <si>
    <t>g</t>
  </si>
  <si>
    <t>v</t>
  </si>
  <si>
    <t>er</t>
  </si>
  <si>
    <t>re</t>
  </si>
  <si>
    <t>a / b</t>
  </si>
  <si>
    <t>Noms concernes</t>
  </si>
  <si>
    <t>F27</t>
  </si>
  <si>
    <t>a</t>
  </si>
  <si>
    <t>b</t>
  </si>
  <si>
    <t>c</t>
  </si>
  <si>
    <t>ddd</t>
  </si>
  <si>
    <t>d</t>
  </si>
  <si>
    <t>hhhh</t>
  </si>
  <si>
    <t>y / z</t>
  </si>
  <si>
    <t>Name</t>
  </si>
  <si>
    <t>ID</t>
  </si>
  <si>
    <t>Email</t>
  </si>
  <si>
    <t>Profile</t>
  </si>
  <si>
    <t>Password</t>
  </si>
  <si>
    <t>Maurice Florentin TJOUEN NYEM</t>
  </si>
  <si>
    <t>Mnyem</t>
  </si>
  <si>
    <t>maurice.nyemb@olaenergy.com</t>
  </si>
  <si>
    <t>Storekeeper</t>
  </si>
  <si>
    <t>Nche Mbeleck Paul</t>
  </si>
  <si>
    <t>Pnche</t>
  </si>
  <si>
    <t>YAOUNDE</t>
  </si>
  <si>
    <t>paul.mbeleck@olaenergy.com</t>
  </si>
  <si>
    <t>MAAWIYA NYAH Usheni</t>
  </si>
  <si>
    <t>Unyah</t>
  </si>
  <si>
    <t>BAFOUSSAM</t>
  </si>
  <si>
    <t>nyah.usheni@olaenergy.com</t>
  </si>
  <si>
    <t>Fotso Kamga  Berenger</t>
  </si>
  <si>
    <t>Bfotso</t>
  </si>
  <si>
    <t>berenger.fotso@olaenergy.com</t>
  </si>
  <si>
    <t>Rodrigue Aimé CHATCHUING N.</t>
  </si>
  <si>
    <t>Rchatchuing</t>
  </si>
  <si>
    <t>GAROUA</t>
  </si>
  <si>
    <t>rodrigue.chatchuing@olaenergy.com</t>
  </si>
  <si>
    <t>Jacob Fosso</t>
  </si>
  <si>
    <t>Jfosso</t>
  </si>
  <si>
    <t>Operations Manager</t>
  </si>
  <si>
    <t>jacob.fosso@olaenergy.com</t>
  </si>
  <si>
    <t>Manager</t>
  </si>
  <si>
    <t>Carlos Nguembou</t>
  </si>
  <si>
    <t>Cnguembou</t>
  </si>
  <si>
    <t>Supply Manager Assistant</t>
  </si>
  <si>
    <t>carlos.nguembou@olaenergy.com</t>
  </si>
  <si>
    <t>Administrator</t>
  </si>
  <si>
    <t>Nina Gaelle Moueyeme</t>
  </si>
  <si>
    <t>Nmoueyeme</t>
  </si>
  <si>
    <t>Supply Analyst</t>
  </si>
  <si>
    <t>nina.moueyeme@olaenergy.com</t>
  </si>
  <si>
    <t>Reconciliation</t>
  </si>
  <si>
    <t>Guy Mbarga</t>
  </si>
  <si>
    <t>Gmbarga</t>
  </si>
  <si>
    <t>LPG Reconciliation</t>
  </si>
  <si>
    <t>guy.mbarga@olaenergy.com</t>
  </si>
  <si>
    <t>Felix  Njoume</t>
  </si>
  <si>
    <t>FNjoume</t>
  </si>
  <si>
    <t>Fuel Oil Reconciliation</t>
  </si>
  <si>
    <t>Felix.Njoume@olaenergy.com</t>
  </si>
  <si>
    <t>Magloire  Bakehe</t>
  </si>
  <si>
    <t>Mbakehe</t>
  </si>
  <si>
    <t>LPG Manager</t>
  </si>
  <si>
    <t>magloire.bakehe@olaenergy.com</t>
  </si>
  <si>
    <t>Sales</t>
  </si>
  <si>
    <t>Briac Michel Balla Mbia</t>
  </si>
  <si>
    <t>Bballa</t>
  </si>
  <si>
    <t>LPG Sales representative 1</t>
  </si>
  <si>
    <t>michel.balla@olaenergy.com</t>
  </si>
  <si>
    <t>Daniel Eboule</t>
  </si>
  <si>
    <t>DanEboule</t>
  </si>
  <si>
    <t>LPG Sales representative 2</t>
  </si>
  <si>
    <t>daniel.eboule@olaenergy.com</t>
  </si>
  <si>
    <t>Guy Alain Feutal</t>
  </si>
  <si>
    <t>Guy-Alain-Feutal</t>
  </si>
  <si>
    <t>guylain.feutal@olaenergy.com</t>
  </si>
  <si>
    <t>admin</t>
  </si>
  <si>
    <t>TJ11052013hannette</t>
  </si>
  <si>
    <t>hd9wEDYKrV9u6Rc</t>
  </si>
  <si>
    <t>vR5ox0I8gO0YhA1</t>
  </si>
  <si>
    <t>vhY45bV9DwXbcx0</t>
  </si>
  <si>
    <t>27IVfGzGw7WU4vg</t>
  </si>
  <si>
    <t>ktNM9Qp5tvp38Yw</t>
  </si>
  <si>
    <t>q2GnMoDcRL6GCnF</t>
  </si>
  <si>
    <t>wS7njThOVeoGy6w</t>
  </si>
  <si>
    <t>jj8yOTAGcLS7Cfz</t>
  </si>
  <si>
    <t>Ip13YmzzDg68EPW</t>
  </si>
  <si>
    <t>y21fc6SPtBMgfMO</t>
  </si>
  <si>
    <t>rBZdNi7Jkz6F0nD</t>
  </si>
  <si>
    <t>Guy-Alain-2023</t>
  </si>
  <si>
    <t>Transfert d'accesoire</t>
  </si>
  <si>
    <t>TRFACC1</t>
  </si>
  <si>
    <t>s</t>
  </si>
  <si>
    <t>Carlos Nguembou / Magloire  Bakehe / Fotso Kamga  Berenger / Nche Mbeleck Paul / Fotso Kamga  Berenger / MAAWIYA NYAH Usheni / Fotso Kamga  Berenger / Magloire  Bakehe / Felix  Njoume / MAAWIYA NYAH Usheni</t>
  </si>
  <si>
    <t>FORM 415-</t>
  </si>
  <si>
    <t>RCPPRD1</t>
  </si>
  <si>
    <t>f</t>
  </si>
  <si>
    <t>Bouteille vide en service</t>
  </si>
  <si>
    <t>ola</t>
  </si>
  <si>
    <t>adminABK</t>
  </si>
  <si>
    <t>FORM 410-</t>
  </si>
  <si>
    <t>Livraison produit</t>
  </si>
  <si>
    <t>LIVPRD1</t>
  </si>
  <si>
    <t>Nom complet</t>
  </si>
  <si>
    <t>TRF</t>
  </si>
  <si>
    <t>ff</t>
  </si>
  <si>
    <t>TRFEMB1</t>
  </si>
  <si>
    <t>MAAWIYA NYAH Usheni / Jacob Fosso / Fotso Kamga  Berenger / MAAWIYA NYAH Usheni / Rodrigue Aimé CHATCHUING N. / Carlos Nguembou / hamid</t>
  </si>
  <si>
    <t>Nom Complet</t>
  </si>
  <si>
    <t>Maillist des destinataires concernes</t>
  </si>
  <si>
    <t>MAAWIYA NYAH Usheni / Fotso Kamga  Berenger / Nche Mbeleck Paul</t>
  </si>
  <si>
    <t>E-Mail</t>
  </si>
  <si>
    <t xml:space="preserve">Nom Complet </t>
  </si>
  <si>
    <t>Rodrigue Aimé CHATCHUING N. / Jacob Fosso / MAAWIYA NYAH Usheni</t>
  </si>
  <si>
    <t>Réception d'emballage</t>
  </si>
  <si>
    <t>RCPEMB1</t>
  </si>
  <si>
    <t>vvv</t>
  </si>
  <si>
    <t>Rodrigue Aimé CHATCHUING N. / Nina Gaelle Moueyeme</t>
  </si>
  <si>
    <r>
      <t xml:space="preserve">Fiche de Mouvement
</t>
    </r>
    <r>
      <rPr>
        <b/>
        <sz val="18"/>
        <color theme="0"/>
        <rFont val="Aptos Display"/>
        <family val="2"/>
        <scheme val="major"/>
      </rPr>
      <t>Mouvement sheet</t>
    </r>
  </si>
  <si>
    <r>
      <t xml:space="preserve">Réception d’emballage                            </t>
    </r>
    <r>
      <rPr>
        <b/>
        <sz val="18"/>
        <color theme="0"/>
        <rFont val="Aptos Display"/>
        <family val="2"/>
        <scheme val="major"/>
      </rPr>
      <t>Date de Mouvement</t>
    </r>
  </si>
  <si>
    <t>OLA</t>
  </si>
  <si>
    <t>MAAWIYA NYAH Usheni / Rodrigue Aimé CHATCHUING N.</t>
  </si>
  <si>
    <t>Début d'activité</t>
  </si>
  <si>
    <t>Jacob Fosso / Maurice Florentin TJOUEN NYEM</t>
  </si>
  <si>
    <t>13/08/2024 09:54:40</t>
  </si>
  <si>
    <t xml:space="preserve">Ola </t>
  </si>
  <si>
    <t>elabdiouihaitam@gmail,com</t>
  </si>
  <si>
    <t>MagasinGPL</t>
  </si>
  <si>
    <t>StationDeService</t>
  </si>
  <si>
    <t>ab</t>
  </si>
  <si>
    <t>bc</t>
  </si>
  <si>
    <t>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</si>
</sst>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4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i/>
      <sz val="8"/>
      <color theme="1"/>
      <name val="Aptos Narrow"/>
      <family val="2"/>
      <scheme val="minor"/>
    </font>
    <font>
      <sz val="12"/>
      <color rgb="FF000000"/>
      <name val="Roboto"/>
    </font>
    <font>
      <b/>
      <sz val="20"/>
      <color rgb="FFA5A5A5"/>
      <name val="Roboto"/>
    </font>
    <font>
      <b/>
      <sz val="22"/>
      <color rgb="FF4472C4"/>
      <name val="Roboto"/>
    </font>
    <font>
      <sz val="10"/>
      <name val="Roboto"/>
    </font>
    <font>
      <sz val="11"/>
      <color rgb="FF333F4F"/>
      <name val="Roboto"/>
    </font>
    <font>
      <sz val="18"/>
      <color rgb="FF7F7F7F"/>
      <name val="Roboto"/>
    </font>
    <font>
      <sz val="8"/>
      <color rgb="FF333F4F"/>
      <name val="Roboto"/>
    </font>
    <font>
      <sz val="11"/>
      <color rgb="FFFFFFFF"/>
      <name val="Roboto"/>
    </font>
    <font>
      <b/>
      <sz val="9"/>
      <color rgb="FF1F3864"/>
      <name val="Roboto"/>
    </font>
    <font>
      <sz val="10"/>
      <color rgb="FF000000"/>
      <name val="Roboto"/>
    </font>
    <font>
      <sz val="11"/>
      <color rgb="FF0070C0"/>
      <name val="Roboto"/>
    </font>
    <font>
      <i/>
      <sz val="9"/>
      <color rgb="FF333F4F"/>
      <name val="Roboto"/>
    </font>
    <font>
      <sz val="11"/>
      <color rgb="FF1F3864"/>
      <name val="Roboto"/>
    </font>
    <font>
      <b/>
      <sz val="9"/>
      <color rgb="FFFFFFFF"/>
      <name val="Roboto"/>
    </font>
    <font>
      <sz val="9"/>
      <color rgb="FF000000"/>
      <name val="Roboto"/>
    </font>
    <font>
      <b/>
      <sz val="8"/>
      <color rgb="FF333F4F"/>
      <name val="Roboto"/>
    </font>
    <font>
      <b/>
      <sz val="9"/>
      <name val="Roboto"/>
    </font>
    <font>
      <sz val="10"/>
      <color rgb="FF333F4F"/>
      <name val="Roboto"/>
    </font>
    <font>
      <sz val="11"/>
      <color theme="1"/>
      <name val="Aptos Narrow"/>
      <family val="2"/>
      <scheme val="minor"/>
    </font>
    <font>
      <b/>
      <sz val="15"/>
      <color theme="0"/>
      <name val="Aptos Narrow"/>
      <scheme val="minor"/>
    </font>
    <font>
      <b/>
      <sz val="13"/>
      <color rgb="FFFFFFFF"/>
      <name val="Roboto"/>
    </font>
    <font>
      <b/>
      <sz val="10"/>
      <name val="Aptos Narrow"/>
      <family val="2"/>
      <scheme val="minor"/>
    </font>
    <font>
      <sz val="10"/>
      <name val="Aptos Narrow"/>
      <family val="2"/>
      <scheme val="minor"/>
    </font>
    <font>
      <b/>
      <sz val="10"/>
      <name val="Calibri"/>
      <family val="2"/>
    </font>
    <font>
      <u/>
      <sz val="11"/>
      <color theme="10"/>
      <name val="Aptos Narrow"/>
      <family val="2"/>
      <scheme val="minor"/>
    </font>
    <font>
      <b/>
      <sz val="18"/>
      <color theme="0"/>
      <name val="Aptos Display"/>
      <family val="2"/>
      <scheme val="major"/>
    </font>
    <font>
      <b/>
      <sz val="18"/>
      <color rgb="FFFFFFFF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sz val="18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14"/>
      <color theme="0"/>
      <name val="Aptos Display"/>
      <family val="2"/>
      <scheme val="major"/>
    </font>
    <font>
      <b/>
      <sz val="12"/>
      <color rgb="FF000000"/>
      <name val="Aptos Display"/>
      <family val="2"/>
      <scheme val="major"/>
    </font>
    <font>
      <b/>
      <sz val="14"/>
      <name val="Aptos Display"/>
      <family val="2"/>
      <scheme val="major"/>
    </font>
    <font>
      <b/>
      <sz val="14"/>
      <color rgb="FFFFFFFF"/>
      <name val="Aptos Display"/>
      <family val="2"/>
      <scheme val="major"/>
    </font>
    <font>
      <b/>
      <sz val="14"/>
      <color rgb="FF000000"/>
      <name val="Aptos Display"/>
      <family val="2"/>
      <scheme val="major"/>
    </font>
    <font>
      <b/>
      <u/>
      <sz val="12"/>
      <color theme="10"/>
      <name val="Aptos Display"/>
      <family val="2"/>
      <scheme val="maj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5722"/>
        <bgColor rgb="FFFF5722"/>
      </patternFill>
    </fill>
    <fill>
      <patternFill patternType="solid">
        <fgColor rgb="FFF3F3F3"/>
        <bgColor rgb="FFF3F3F3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rgb="FFFF5722"/>
      </patternFill>
    </fill>
    <fill>
      <patternFill patternType="solid">
        <fgColor theme="0"/>
        <bgColor rgb="FFF3F3F3"/>
      </patternFill>
    </fill>
    <fill>
      <patternFill patternType="solid">
        <fgColor theme="2"/>
        <bgColor rgb="FFF3F3F3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30" fillId="0" borderId="0" applyNumberFormat="0" applyFill="0" applyBorder="0" applyAlignment="0" applyProtection="0"/>
  </cellStyleXfs>
  <cellXfs count="194">
    <xf numFmtId="0" fontId="0" fillId="0" borderId="0" xfId="0"/>
    <xf numFmtId="14" fontId="0" fillId="0" borderId="0" xfId="0" applyNumberFormat="1"/>
    <xf numFmtId="1" fontId="2" fillId="2" borderId="1" xfId="0" applyNumberFormat="1" applyFont="1" applyFill="1" applyBorder="1" applyAlignment="1" applyProtection="1">
      <alignment horizontal="center"/>
      <protection hidden="1"/>
    </xf>
    <xf numFmtId="0" fontId="2" fillId="3" borderId="1" xfId="0" applyFont="1" applyFill="1" applyBorder="1" applyAlignment="1">
      <alignment horizontal="left" indent="1"/>
    </xf>
    <xf numFmtId="0" fontId="2" fillId="4" borderId="1" xfId="0" applyFont="1" applyFill="1" applyBorder="1" applyAlignment="1">
      <alignment horizontal="left" indent="1"/>
    </xf>
    <xf numFmtId="0" fontId="0" fillId="0" borderId="0" xfId="0" applyAlignment="1">
      <alignment horizontal="center"/>
    </xf>
    <xf numFmtId="0" fontId="7" fillId="6" borderId="0" xfId="0" applyFont="1" applyFill="1" applyAlignment="1">
      <alignment vertical="center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right" vertical="center"/>
    </xf>
    <xf numFmtId="0" fontId="6" fillId="7" borderId="0" xfId="0" applyFont="1" applyFill="1" applyAlignment="1">
      <alignment vertical="center"/>
    </xf>
    <xf numFmtId="0" fontId="9" fillId="0" borderId="0" xfId="0" applyFont="1"/>
    <xf numFmtId="0" fontId="20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9" fillId="6" borderId="0" xfId="0" applyFont="1" applyFill="1"/>
    <xf numFmtId="0" fontId="8" fillId="6" borderId="0" xfId="0" applyFont="1" applyFill="1" applyAlignment="1">
      <alignment horizontal="center" vertical="center"/>
    </xf>
    <xf numFmtId="0" fontId="26" fillId="6" borderId="10" xfId="0" applyFont="1" applyFill="1" applyBorder="1" applyAlignment="1">
      <alignment horizontal="center" vertical="center"/>
    </xf>
    <xf numFmtId="0" fontId="3" fillId="13" borderId="10" xfId="0" applyFont="1" applyFill="1" applyBorder="1" applyAlignment="1">
      <alignment horizontal="right" vertical="center"/>
    </xf>
    <xf numFmtId="0" fontId="3" fillId="13" borderId="8" xfId="0" applyFont="1" applyFill="1" applyBorder="1" applyAlignment="1">
      <alignment horizontal="right" vertical="center" shrinkToFit="1"/>
    </xf>
    <xf numFmtId="0" fontId="3" fillId="13" borderId="5" xfId="0" applyFont="1" applyFill="1" applyBorder="1" applyAlignment="1">
      <alignment horizontal="right" vertical="center"/>
    </xf>
    <xf numFmtId="0" fontId="1" fillId="14" borderId="3" xfId="0" applyFont="1" applyFill="1" applyBorder="1" applyAlignment="1">
      <alignment horizontal="left" vertical="center" indent="1"/>
    </xf>
    <xf numFmtId="0" fontId="2" fillId="15" borderId="1" xfId="0" applyFont="1" applyFill="1" applyBorder="1" applyAlignment="1">
      <alignment horizontal="left" indent="1"/>
    </xf>
    <xf numFmtId="0" fontId="21" fillId="0" borderId="0" xfId="0" applyFont="1" applyAlignment="1">
      <alignment horizontal="right" vertical="center"/>
    </xf>
    <xf numFmtId="0" fontId="20" fillId="7" borderId="10" xfId="0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 shrinkToFit="1"/>
    </xf>
    <xf numFmtId="0" fontId="1" fillId="0" borderId="1" xfId="0" applyFont="1" applyBorder="1" applyAlignment="1">
      <alignment horizontal="center"/>
    </xf>
    <xf numFmtId="14" fontId="1" fillId="2" borderId="1" xfId="0" applyNumberFormat="1" applyFont="1" applyFill="1" applyBorder="1" applyAlignment="1" applyProtection="1">
      <alignment horizontal="center"/>
      <protection locked="0"/>
    </xf>
    <xf numFmtId="0" fontId="3" fillId="13" borderId="25" xfId="0" applyFont="1" applyFill="1" applyBorder="1" applyAlignment="1">
      <alignment horizontal="center" vertical="center" shrinkToFit="1"/>
    </xf>
    <xf numFmtId="0" fontId="3" fillId="13" borderId="1" xfId="0" applyFont="1" applyFill="1" applyBorder="1" applyAlignment="1">
      <alignment horizontal="center" vertical="center"/>
    </xf>
    <xf numFmtId="0" fontId="3" fillId="13" borderId="26" xfId="0" applyFont="1" applyFill="1" applyBorder="1" applyAlignment="1">
      <alignment horizontal="center" vertical="center" shrinkToFit="1"/>
    </xf>
    <xf numFmtId="1" fontId="2" fillId="2" borderId="27" xfId="0" applyNumberFormat="1" applyFont="1" applyFill="1" applyBorder="1" applyAlignment="1" applyProtection="1">
      <alignment horizontal="center"/>
      <protection hidden="1"/>
    </xf>
    <xf numFmtId="1" fontId="2" fillId="2" borderId="28" xfId="0" applyNumberFormat="1" applyFont="1" applyFill="1" applyBorder="1" applyAlignment="1" applyProtection="1">
      <alignment horizontal="center"/>
      <protection hidden="1"/>
    </xf>
    <xf numFmtId="1" fontId="2" fillId="2" borderId="10" xfId="0" applyNumberFormat="1" applyFont="1" applyFill="1" applyBorder="1" applyAlignment="1" applyProtection="1">
      <alignment horizontal="center"/>
      <protection hidden="1"/>
    </xf>
    <xf numFmtId="0" fontId="0" fillId="0" borderId="29" xfId="0" applyBorder="1"/>
    <xf numFmtId="20" fontId="0" fillId="0" borderId="0" xfId="0" applyNumberFormat="1"/>
    <xf numFmtId="22" fontId="0" fillId="0" borderId="0" xfId="0" applyNumberFormat="1"/>
    <xf numFmtId="0" fontId="27" fillId="16" borderId="31" xfId="0" applyFont="1" applyFill="1" applyBorder="1"/>
    <xf numFmtId="0" fontId="28" fillId="2" borderId="30" xfId="0" applyFont="1" applyFill="1" applyBorder="1"/>
    <xf numFmtId="0" fontId="3" fillId="12" borderId="9" xfId="0" applyFont="1" applyFill="1" applyBorder="1" applyAlignment="1">
      <alignment horizontal="left" vertical="center" indent="2"/>
    </xf>
    <xf numFmtId="0" fontId="1" fillId="14" borderId="6" xfId="0" applyFont="1" applyFill="1" applyBorder="1" applyAlignment="1">
      <alignment horizontal="center" vertical="center"/>
    </xf>
    <xf numFmtId="0" fontId="7" fillId="6" borderId="32" xfId="0" applyFont="1" applyFill="1" applyBorder="1" applyAlignment="1">
      <alignment vertical="center"/>
    </xf>
    <xf numFmtId="0" fontId="8" fillId="6" borderId="33" xfId="0" applyFont="1" applyFill="1" applyBorder="1" applyAlignment="1">
      <alignment vertical="center"/>
    </xf>
    <xf numFmtId="0" fontId="6" fillId="7" borderId="34" xfId="0" applyFont="1" applyFill="1" applyBorder="1" applyAlignment="1">
      <alignment vertical="center"/>
    </xf>
    <xf numFmtId="0" fontId="6" fillId="7" borderId="13" xfId="0" applyFont="1" applyFill="1" applyBorder="1" applyAlignment="1">
      <alignment vertical="center"/>
    </xf>
    <xf numFmtId="14" fontId="6" fillId="7" borderId="34" xfId="0" applyNumberFormat="1" applyFont="1" applyFill="1" applyBorder="1" applyAlignment="1">
      <alignment vertical="center"/>
    </xf>
    <xf numFmtId="14" fontId="6" fillId="7" borderId="0" xfId="0" applyNumberFormat="1" applyFont="1" applyFill="1" applyAlignment="1">
      <alignment vertical="center"/>
    </xf>
    <xf numFmtId="20" fontId="3" fillId="13" borderId="8" xfId="0" applyNumberFormat="1" applyFont="1" applyFill="1" applyBorder="1" applyAlignment="1">
      <alignment horizontal="center" vertical="center" shrinkToFit="1"/>
    </xf>
    <xf numFmtId="0" fontId="9" fillId="6" borderId="38" xfId="0" applyFont="1" applyFill="1" applyBorder="1"/>
    <xf numFmtId="0" fontId="9" fillId="6" borderId="6" xfId="0" applyFont="1" applyFill="1" applyBorder="1"/>
    <xf numFmtId="0" fontId="9" fillId="6" borderId="4" xfId="0" applyFont="1" applyFill="1" applyBorder="1"/>
    <xf numFmtId="0" fontId="9" fillId="17" borderId="0" xfId="0" applyFont="1" applyFill="1"/>
    <xf numFmtId="0" fontId="6" fillId="18" borderId="10" xfId="0" applyFont="1" applyFill="1" applyBorder="1" applyAlignment="1">
      <alignment horizontal="center" vertical="center"/>
    </xf>
    <xf numFmtId="0" fontId="8" fillId="6" borderId="32" xfId="0" applyFont="1" applyFill="1" applyBorder="1" applyAlignment="1">
      <alignment vertical="center"/>
    </xf>
    <xf numFmtId="0" fontId="8" fillId="6" borderId="32" xfId="0" applyFont="1" applyFill="1" applyBorder="1" applyAlignment="1">
      <alignment horizontal="right" vertical="center"/>
    </xf>
    <xf numFmtId="0" fontId="8" fillId="6" borderId="32" xfId="0" applyFont="1" applyFill="1" applyBorder="1" applyAlignment="1">
      <alignment horizontal="center" vertical="center"/>
    </xf>
    <xf numFmtId="0" fontId="8" fillId="6" borderId="33" xfId="0" applyFont="1" applyFill="1" applyBorder="1" applyAlignment="1">
      <alignment horizontal="center" vertical="center"/>
    </xf>
    <xf numFmtId="0" fontId="7" fillId="7" borderId="0" xfId="0" applyFont="1" applyFill="1" applyAlignment="1">
      <alignment vertical="center"/>
    </xf>
    <xf numFmtId="0" fontId="8" fillId="7" borderId="0" xfId="0" applyFont="1" applyFill="1" applyAlignment="1">
      <alignment vertical="center"/>
    </xf>
    <xf numFmtId="0" fontId="8" fillId="7" borderId="0" xfId="0" applyFont="1" applyFill="1" applyAlignment="1">
      <alignment horizontal="right" vertical="center"/>
    </xf>
    <xf numFmtId="0" fontId="8" fillId="7" borderId="13" xfId="0" applyFont="1" applyFill="1" applyBorder="1" applyAlignment="1">
      <alignment horizontal="right" vertical="center"/>
    </xf>
    <xf numFmtId="0" fontId="10" fillId="7" borderId="0" xfId="0" applyFont="1" applyFill="1" applyAlignment="1">
      <alignment horizontal="left" vertical="top"/>
    </xf>
    <xf numFmtId="0" fontId="9" fillId="7" borderId="34" xfId="0" applyFont="1" applyFill="1" applyBorder="1"/>
    <xf numFmtId="0" fontId="9" fillId="7" borderId="0" xfId="0" applyFont="1" applyFill="1"/>
    <xf numFmtId="0" fontId="12" fillId="7" borderId="0" xfId="0" applyFont="1" applyFill="1" applyAlignment="1">
      <alignment horizontal="left" vertical="top"/>
    </xf>
    <xf numFmtId="0" fontId="11" fillId="7" borderId="0" xfId="0" applyFont="1" applyFill="1" applyAlignment="1">
      <alignment horizontal="left" vertical="center" wrapText="1"/>
    </xf>
    <xf numFmtId="0" fontId="10" fillId="7" borderId="0" xfId="0" applyFont="1" applyFill="1" applyAlignment="1">
      <alignment horizontal="left" vertical="center"/>
    </xf>
    <xf numFmtId="0" fontId="13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9" fillId="0" borderId="34" xfId="0" applyFont="1" applyBorder="1"/>
    <xf numFmtId="0" fontId="0" fillId="0" borderId="13" xfId="0" applyBorder="1"/>
    <xf numFmtId="0" fontId="10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0" fillId="0" borderId="34" xfId="0" applyBorder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top"/>
    </xf>
    <xf numFmtId="0" fontId="17" fillId="0" borderId="0" xfId="0" applyFont="1" applyAlignment="1">
      <alignment horizontal="right" vertical="top"/>
    </xf>
    <xf numFmtId="0" fontId="14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15" fillId="0" borderId="34" xfId="0" applyFont="1" applyBorder="1" applyAlignment="1">
      <alignment vertical="center"/>
    </xf>
    <xf numFmtId="0" fontId="19" fillId="0" borderId="34" xfId="0" applyFont="1" applyBorder="1" applyAlignment="1">
      <alignment horizontal="center" vertical="center"/>
    </xf>
    <xf numFmtId="0" fontId="8" fillId="6" borderId="6" xfId="0" applyFont="1" applyFill="1" applyBorder="1" applyAlignment="1">
      <alignment horizontal="right" vertical="center"/>
    </xf>
    <xf numFmtId="0" fontId="8" fillId="6" borderId="4" xfId="0" applyFont="1" applyFill="1" applyBorder="1" applyAlignment="1">
      <alignment horizontal="right" vertical="center"/>
    </xf>
    <xf numFmtId="14" fontId="11" fillId="7" borderId="0" xfId="0" applyNumberFormat="1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164" fontId="29" fillId="2" borderId="10" xfId="0" applyNumberFormat="1" applyFont="1" applyFill="1" applyBorder="1" applyAlignment="1" applyProtection="1">
      <alignment horizontal="center" vertical="center" wrapText="1"/>
      <protection locked="0" hidden="1"/>
    </xf>
    <xf numFmtId="164" fontId="29" fillId="2" borderId="11" xfId="0" applyNumberFormat="1" applyFont="1" applyFill="1" applyBorder="1" applyAlignment="1" applyProtection="1">
      <alignment horizontal="center" vertical="center" wrapText="1"/>
      <protection locked="0" hidden="1"/>
    </xf>
    <xf numFmtId="164" fontId="27" fillId="2" borderId="0" xfId="0" applyNumberFormat="1" applyFont="1" applyFill="1" applyAlignment="1" applyProtection="1">
      <alignment horizontal="center" vertical="center" wrapText="1"/>
      <protection locked="0" hidden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10" xfId="0" applyFont="1" applyBorder="1" applyAlignment="1">
      <alignment horizontal="center" vertical="center"/>
    </xf>
    <xf numFmtId="14" fontId="1" fillId="2" borderId="10" xfId="0" applyNumberFormat="1" applyFont="1" applyFill="1" applyBorder="1" applyAlignment="1" applyProtection="1">
      <alignment horizontal="center" vertical="center"/>
      <protection locked="0"/>
    </xf>
    <xf numFmtId="0" fontId="1" fillId="2" borderId="11" xfId="0" applyFont="1" applyFill="1" applyBorder="1" applyAlignment="1">
      <alignment horizontal="center" vertical="center"/>
    </xf>
    <xf numFmtId="0" fontId="32" fillId="6" borderId="1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38" fillId="0" borderId="10" xfId="0" applyFont="1" applyBorder="1" applyAlignment="1">
      <alignment horizontal="center" vertical="center"/>
    </xf>
    <xf numFmtId="0" fontId="36" fillId="0" borderId="0" xfId="0" applyFont="1"/>
    <xf numFmtId="0" fontId="39" fillId="0" borderId="0" xfId="0" applyFont="1"/>
    <xf numFmtId="0" fontId="40" fillId="6" borderId="10" xfId="0" applyFont="1" applyFill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36" fillId="5" borderId="10" xfId="0" applyFont="1" applyFill="1" applyBorder="1" applyAlignment="1">
      <alignment horizontal="center" vertical="center"/>
    </xf>
    <xf numFmtId="0" fontId="39" fillId="0" borderId="10" xfId="0" applyFont="1" applyBorder="1" applyAlignment="1">
      <alignment horizontal="center" vertical="center"/>
    </xf>
    <xf numFmtId="0" fontId="41" fillId="0" borderId="0" xfId="0" applyFont="1" applyAlignment="1">
      <alignment horizontal="left" vertical="center"/>
    </xf>
    <xf numFmtId="0" fontId="41" fillId="0" borderId="10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1" fillId="18" borderId="10" xfId="0" applyFont="1" applyFill="1" applyBorder="1" applyAlignment="1">
      <alignment horizontal="center" vertical="center"/>
    </xf>
    <xf numFmtId="0" fontId="36" fillId="2" borderId="10" xfId="0" applyFont="1" applyFill="1" applyBorder="1" applyAlignment="1">
      <alignment horizontal="center" vertical="center"/>
    </xf>
    <xf numFmtId="0" fontId="41" fillId="7" borderId="10" xfId="0" applyFont="1" applyFill="1" applyBorder="1" applyAlignment="1">
      <alignment horizontal="center" vertical="center"/>
    </xf>
    <xf numFmtId="0" fontId="38" fillId="19" borderId="10" xfId="0" applyFont="1" applyFill="1" applyBorder="1" applyAlignment="1">
      <alignment horizontal="center" vertical="center"/>
    </xf>
    <xf numFmtId="0" fontId="34" fillId="0" borderId="10" xfId="0" applyFont="1" applyBorder="1" applyAlignment="1">
      <alignment horizontal="center" vertical="center"/>
    </xf>
    <xf numFmtId="0" fontId="30" fillId="0" borderId="0" xfId="3" applyAlignment="1">
      <alignment horizontal="center" vertical="center"/>
    </xf>
    <xf numFmtId="20" fontId="1" fillId="2" borderId="1" xfId="0" applyNumberFormat="1" applyFont="1" applyFill="1" applyBorder="1" applyAlignment="1" applyProtection="1">
      <alignment horizontal="center"/>
      <protection locked="0"/>
    </xf>
    <xf numFmtId="0" fontId="6" fillId="6" borderId="5" xfId="0" applyFont="1" applyFill="1" applyBorder="1" applyAlignment="1">
      <alignment vertical="center"/>
    </xf>
    <xf numFmtId="0" fontId="6" fillId="6" borderId="32" xfId="0" applyFont="1" applyFill="1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/>
    </xf>
    <xf numFmtId="0" fontId="26" fillId="6" borderId="15" xfId="0" applyFont="1" applyFill="1" applyBorder="1" applyAlignment="1">
      <alignment horizontal="center" vertical="center"/>
    </xf>
    <xf numFmtId="0" fontId="26" fillId="6" borderId="2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33" fillId="14" borderId="7" xfId="0" applyFont="1" applyFill="1" applyBorder="1" applyAlignment="1">
      <alignment horizontal="center" vertical="center" wrapText="1"/>
    </xf>
    <xf numFmtId="0" fontId="33" fillId="14" borderId="3" xfId="0" applyFont="1" applyFill="1" applyBorder="1" applyAlignment="1">
      <alignment horizontal="center" vertical="center" wrapText="1"/>
    </xf>
    <xf numFmtId="0" fontId="4" fillId="14" borderId="7" xfId="0" applyFont="1" applyFill="1" applyBorder="1" applyAlignment="1">
      <alignment horizontal="center" vertical="center" wrapText="1"/>
    </xf>
    <xf numFmtId="0" fontId="4" fillId="14" borderId="3" xfId="0" applyFont="1" applyFill="1" applyBorder="1" applyAlignment="1">
      <alignment horizontal="center" vertical="center" wrapText="1"/>
    </xf>
    <xf numFmtId="0" fontId="25" fillId="8" borderId="23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 wrapText="1"/>
    </xf>
    <xf numFmtId="0" fontId="3" fillId="12" borderId="9" xfId="0" applyFont="1" applyFill="1" applyBorder="1" applyAlignment="1">
      <alignment horizontal="left" vertical="center" indent="2"/>
    </xf>
    <xf numFmtId="0" fontId="3" fillId="12" borderId="2" xfId="0" applyFont="1" applyFill="1" applyBorder="1" applyAlignment="1">
      <alignment horizontal="left" vertical="center" indent="2"/>
    </xf>
    <xf numFmtId="0" fontId="1" fillId="14" borderId="6" xfId="0" applyFont="1" applyFill="1" applyBorder="1" applyAlignment="1">
      <alignment horizontal="center" vertical="center"/>
    </xf>
    <xf numFmtId="0" fontId="1" fillId="14" borderId="4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3" xfId="0" applyFont="1" applyFill="1" applyBorder="1" applyAlignment="1">
      <alignment horizontal="center" vertical="center" wrapText="1"/>
    </xf>
    <xf numFmtId="0" fontId="1" fillId="14" borderId="4" xfId="0" applyFont="1" applyFill="1" applyBorder="1" applyAlignment="1">
      <alignment horizontal="center" vertical="center" wrapText="1"/>
    </xf>
    <xf numFmtId="0" fontId="3" fillId="14" borderId="7" xfId="0" applyFont="1" applyFill="1" applyBorder="1" applyAlignment="1">
      <alignment horizontal="center" vertical="center" wrapText="1"/>
    </xf>
    <xf numFmtId="0" fontId="3" fillId="14" borderId="14" xfId="0" applyFont="1" applyFill="1" applyBorder="1" applyAlignment="1">
      <alignment horizontal="center" vertical="center" wrapText="1"/>
    </xf>
    <xf numFmtId="0" fontId="3" fillId="14" borderId="3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vertical="center"/>
    </xf>
    <xf numFmtId="0" fontId="9" fillId="6" borderId="0" xfId="0" applyFont="1" applyFill="1"/>
    <xf numFmtId="0" fontId="42" fillId="16" borderId="10" xfId="3" applyFont="1" applyFill="1" applyBorder="1" applyAlignment="1">
      <alignment horizontal="center" vertical="center"/>
    </xf>
    <xf numFmtId="0" fontId="34" fillId="16" borderId="10" xfId="0" applyFont="1" applyFill="1" applyBorder="1" applyAlignment="1">
      <alignment horizontal="center" vertical="center"/>
    </xf>
    <xf numFmtId="0" fontId="42" fillId="0" borderId="15" xfId="3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31" fillId="8" borderId="23" xfId="0" applyFont="1" applyFill="1" applyBorder="1" applyAlignment="1">
      <alignment horizontal="center" vertical="center"/>
    </xf>
    <xf numFmtId="0" fontId="30" fillId="0" borderId="10" xfId="3" applyBorder="1" applyAlignment="1">
      <alignment horizontal="center" vertical="center"/>
    </xf>
    <xf numFmtId="0" fontId="38" fillId="0" borderId="10" xfId="0" applyFont="1" applyBorder="1" applyAlignment="1">
      <alignment horizontal="center" vertical="center"/>
    </xf>
    <xf numFmtId="0" fontId="32" fillId="6" borderId="15" xfId="0" applyFont="1" applyFill="1" applyBorder="1" applyAlignment="1">
      <alignment horizontal="center" vertical="center"/>
    </xf>
    <xf numFmtId="0" fontId="32" fillId="6" borderId="22" xfId="0" applyFont="1" applyFill="1" applyBorder="1" applyAlignment="1">
      <alignment horizontal="center" vertical="center"/>
    </xf>
    <xf numFmtId="0" fontId="35" fillId="11" borderId="15" xfId="2" applyFont="1" applyFill="1" applyBorder="1" applyAlignment="1">
      <alignment horizontal="center" vertical="center" wrapText="1"/>
    </xf>
    <xf numFmtId="0" fontId="35" fillId="11" borderId="22" xfId="2" applyFont="1" applyFill="1" applyBorder="1" applyAlignment="1">
      <alignment horizontal="center" vertical="center" wrapText="1"/>
    </xf>
    <xf numFmtId="0" fontId="41" fillId="18" borderId="15" xfId="0" applyFont="1" applyFill="1" applyBorder="1" applyAlignment="1">
      <alignment horizontal="center" vertical="center"/>
    </xf>
    <xf numFmtId="0" fontId="41" fillId="18" borderId="24" xfId="0" applyFont="1" applyFill="1" applyBorder="1" applyAlignment="1">
      <alignment horizontal="center" vertical="center"/>
    </xf>
    <xf numFmtId="0" fontId="41" fillId="18" borderId="22" xfId="0" applyFont="1" applyFill="1" applyBorder="1" applyAlignment="1">
      <alignment horizontal="center" vertical="center"/>
    </xf>
    <xf numFmtId="0" fontId="41" fillId="7" borderId="15" xfId="0" applyFont="1" applyFill="1" applyBorder="1" applyAlignment="1">
      <alignment horizontal="center" vertical="center"/>
    </xf>
    <xf numFmtId="0" fontId="41" fillId="7" borderId="24" xfId="0" applyFont="1" applyFill="1" applyBorder="1" applyAlignment="1">
      <alignment horizontal="center" vertical="center"/>
    </xf>
    <xf numFmtId="0" fontId="41" fillId="7" borderId="22" xfId="0" applyFont="1" applyFill="1" applyBorder="1" applyAlignment="1">
      <alignment horizontal="center" vertical="center"/>
    </xf>
    <xf numFmtId="0" fontId="40" fillId="6" borderId="15" xfId="0" applyFont="1" applyFill="1" applyBorder="1" applyAlignment="1">
      <alignment horizontal="center" vertical="center"/>
    </xf>
    <xf numFmtId="0" fontId="40" fillId="6" borderId="24" xfId="0" applyFont="1" applyFill="1" applyBorder="1" applyAlignment="1">
      <alignment horizontal="center" vertical="center"/>
    </xf>
    <xf numFmtId="0" fontId="40" fillId="6" borderId="22" xfId="0" applyFont="1" applyFill="1" applyBorder="1" applyAlignment="1">
      <alignment horizontal="center" vertical="center"/>
    </xf>
    <xf numFmtId="0" fontId="37" fillId="8" borderId="23" xfId="0" applyFont="1" applyFill="1" applyBorder="1" applyAlignment="1">
      <alignment horizontal="center" vertical="center"/>
    </xf>
    <xf numFmtId="0" fontId="37" fillId="8" borderId="15" xfId="0" applyFont="1" applyFill="1" applyBorder="1" applyAlignment="1">
      <alignment horizontal="center" vertical="center"/>
    </xf>
    <xf numFmtId="0" fontId="37" fillId="8" borderId="22" xfId="0" applyFont="1" applyFill="1" applyBorder="1" applyAlignment="1">
      <alignment horizontal="center" vertical="center"/>
    </xf>
    <xf numFmtId="0" fontId="39" fillId="2" borderId="16" xfId="0" applyFont="1" applyFill="1" applyBorder="1" applyAlignment="1">
      <alignment horizontal="center" vertical="center"/>
    </xf>
    <xf numFmtId="0" fontId="39" fillId="2" borderId="17" xfId="0" applyFont="1" applyFill="1" applyBorder="1" applyAlignment="1">
      <alignment horizontal="center" vertical="center"/>
    </xf>
    <xf numFmtId="0" fontId="39" fillId="2" borderId="18" xfId="0" applyFont="1" applyFill="1" applyBorder="1" applyAlignment="1">
      <alignment horizontal="center" vertical="center"/>
    </xf>
    <xf numFmtId="0" fontId="39" fillId="2" borderId="19" xfId="0" applyFont="1" applyFill="1" applyBorder="1" applyAlignment="1">
      <alignment horizontal="center" vertical="center"/>
    </xf>
    <xf numFmtId="0" fontId="39" fillId="2" borderId="20" xfId="0" applyFont="1" applyFill="1" applyBorder="1" applyAlignment="1">
      <alignment horizontal="center" vertical="center"/>
    </xf>
    <xf numFmtId="0" fontId="39" fillId="2" borderId="21" xfId="0" applyFont="1" applyFill="1" applyBorder="1" applyAlignment="1">
      <alignment horizontal="center" vertical="center"/>
    </xf>
    <xf numFmtId="0" fontId="35" fillId="11" borderId="16" xfId="2" applyFont="1" applyFill="1" applyBorder="1" applyAlignment="1">
      <alignment horizontal="center" vertical="center" wrapText="1"/>
    </xf>
    <xf numFmtId="0" fontId="35" fillId="11" borderId="17" xfId="2" applyFont="1" applyFill="1" applyBorder="1" applyAlignment="1">
      <alignment horizontal="center" vertical="center" wrapText="1"/>
    </xf>
    <xf numFmtId="0" fontId="35" fillId="11" borderId="20" xfId="2" applyFont="1" applyFill="1" applyBorder="1" applyAlignment="1">
      <alignment horizontal="center" vertical="center" wrapText="1"/>
    </xf>
    <xf numFmtId="0" fontId="35" fillId="11" borderId="21" xfId="2" applyFont="1" applyFill="1" applyBorder="1" applyAlignment="1">
      <alignment horizontal="center" vertical="center" wrapText="1"/>
    </xf>
    <xf numFmtId="14" fontId="35" fillId="9" borderId="16" xfId="1" applyNumberFormat="1" applyFont="1" applyBorder="1" applyAlignment="1">
      <alignment horizontal="center" vertical="center"/>
    </xf>
    <xf numFmtId="14" fontId="35" fillId="9" borderId="17" xfId="1" applyNumberFormat="1" applyFont="1" applyBorder="1" applyAlignment="1">
      <alignment horizontal="center" vertical="center"/>
    </xf>
    <xf numFmtId="14" fontId="35" fillId="9" borderId="20" xfId="1" applyNumberFormat="1" applyFont="1" applyBorder="1" applyAlignment="1">
      <alignment horizontal="center" vertical="center"/>
    </xf>
    <xf numFmtId="14" fontId="35" fillId="9" borderId="21" xfId="1" applyNumberFormat="1" applyFont="1" applyBorder="1" applyAlignment="1">
      <alignment horizontal="center" vertical="center"/>
    </xf>
    <xf numFmtId="0" fontId="35" fillId="9" borderId="15" xfId="1" applyFont="1" applyBorder="1" applyAlignment="1">
      <alignment horizontal="center" vertical="center"/>
    </xf>
    <xf numFmtId="0" fontId="35" fillId="9" borderId="22" xfId="1" applyFont="1" applyBorder="1" applyAlignment="1">
      <alignment horizontal="center" vertical="center"/>
    </xf>
    <xf numFmtId="0" fontId="35" fillId="9" borderId="15" xfId="1" applyFont="1" applyBorder="1" applyAlignment="1">
      <alignment horizontal="center" vertical="center" wrapText="1"/>
    </xf>
    <xf numFmtId="0" fontId="35" fillId="9" borderId="22" xfId="1" applyFont="1" applyBorder="1" applyAlignment="1">
      <alignment horizontal="center" vertical="center" wrapText="1"/>
    </xf>
    <xf numFmtId="0" fontId="6" fillId="7" borderId="34" xfId="0" applyFont="1" applyFill="1" applyBorder="1" applyAlignment="1">
      <alignment vertical="center"/>
    </xf>
    <xf numFmtId="0" fontId="6" fillId="7" borderId="0" xfId="0" applyFont="1" applyFill="1" applyAlignment="1">
      <alignment vertical="center"/>
    </xf>
    <xf numFmtId="0" fontId="9" fillId="7" borderId="34" xfId="0" applyFont="1" applyFill="1" applyBorder="1"/>
    <xf numFmtId="0" fontId="9" fillId="7" borderId="0" xfId="0" applyFont="1" applyFill="1"/>
  </cellXfs>
  <cellStyles count="4">
    <cellStyle name="20 % - Accent2" xfId="1" builtinId="34"/>
    <cellStyle name="40 % - Accent2" xfId="2" builtinId="35"/>
    <cellStyle name="Lien hypertexte" xfId="3" builtinId="8"/>
    <cellStyle name="Normal" xfId="0" builtinId="0"/>
  </cellStyles>
  <dxfs count="27">
    <dxf>
      <font>
        <b/>
        <sz val="10"/>
        <color auto="1"/>
        <name val="Calibri"/>
        <family val="2"/>
        <scheme val="none"/>
      </font>
      <numFmt numFmtId="164" formatCode=";;;**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bottom" textRotation="0" wrapText="1" indent="0" justifyLastLine="0" shrinkToFit="0" readingOrder="0"/>
    </dxf>
    <dxf>
      <border outline="0">
        <top style="thin">
          <color theme="5" tint="0.39997558519241921"/>
        </top>
      </border>
    </dxf>
    <dxf>
      <border outline="0">
        <bottom style="thin">
          <color theme="5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415637</xdr:colOff>
      <xdr:row>8</xdr:row>
      <xdr:rowOff>41562</xdr:rowOff>
    </xdr:from>
    <xdr:to>
      <xdr:col>22</xdr:col>
      <xdr:colOff>581893</xdr:colOff>
      <xdr:row>46</xdr:row>
      <xdr:rowOff>55418</xdr:rowOff>
    </xdr:to>
    <xdr:sp macro="" textlink="">
      <xdr:nvSpPr>
        <xdr:cNvPr id="103" name="Rectangle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6733310" y="1482435"/>
          <a:ext cx="11222183" cy="6858001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 editAs="oneCell">
    <xdr:from>
      <xdr:col>19</xdr:col>
      <xdr:colOff>251699</xdr:colOff>
      <xdr:row>9</xdr:row>
      <xdr:rowOff>53028</xdr:rowOff>
    </xdr:from>
    <xdr:to>
      <xdr:col>21</xdr:col>
      <xdr:colOff>727020</xdr:colOff>
      <xdr:row>22</xdr:row>
      <xdr:rowOff>49693</xdr:rowOff>
    </xdr:to>
    <xdr:pic>
      <xdr:nvPicPr>
        <xdr:cNvPr id="104" name="Image 103" descr="Une image contenant logo, Graphique, Police, graphisme&#10;&#10;Description générée automatiquement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72354" y="1674010"/>
          <a:ext cx="2193284" cy="2338083"/>
        </a:xfrm>
        <a:prstGeom prst="rect">
          <a:avLst/>
        </a:prstGeom>
      </xdr:spPr>
    </xdr:pic>
    <xdr:clientData/>
  </xdr:twoCellAnchor>
  <xdr:twoCellAnchor>
    <xdr:from>
      <xdr:col>9</xdr:col>
      <xdr:colOff>238390</xdr:colOff>
      <xdr:row>29</xdr:row>
      <xdr:rowOff>43568</xdr:rowOff>
    </xdr:from>
    <xdr:to>
      <xdr:col>15</xdr:col>
      <xdr:colOff>89319</xdr:colOff>
      <xdr:row>35</xdr:row>
      <xdr:rowOff>150526</xdr:rowOff>
    </xdr:to>
    <xdr:grpSp>
      <xdr:nvGrpSpPr>
        <xdr:cNvPr id="105" name="Groupe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GrpSpPr/>
      </xdr:nvGrpSpPr>
      <xdr:grpSpPr>
        <a:xfrm>
          <a:off x="7345772" y="5266732"/>
          <a:ext cx="4589183" cy="1187612"/>
          <a:chOff x="3374091" y="2400085"/>
          <a:chExt cx="6058409" cy="1417320"/>
        </a:xfrm>
      </xdr:grpSpPr>
      <xdr:sp macro="[0]!GoToDailyINV" textlink="">
        <xdr:nvSpPr>
          <xdr:cNvPr id="133" name="Rectangle : coins arrondis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4540458" y="2778405"/>
            <a:ext cx="4892042" cy="661200"/>
          </a:xfrm>
          <a:prstGeom prst="roundRect">
            <a:avLst/>
          </a:prstGeom>
          <a:ln w="28575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000"/>
              <a:t>Etablir l’inventaire du jour</a:t>
            </a:r>
          </a:p>
        </xdr:txBody>
      </xdr:sp>
      <xdr:pic macro="[0]!GoToInventory">
        <xdr:nvPicPr>
          <xdr:cNvPr id="134" name="Picture 4" descr="Ready stock - Free commerce and shopping icons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091" y="2400085"/>
            <a:ext cx="1417320" cy="141732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16</xdr:col>
      <xdr:colOff>1759</xdr:colOff>
      <xdr:row>32</xdr:row>
      <xdr:rowOff>157354</xdr:rowOff>
    </xdr:from>
    <xdr:to>
      <xdr:col>21</xdr:col>
      <xdr:colOff>740873</xdr:colOff>
      <xdr:row>39</xdr:row>
      <xdr:rowOff>80631</xdr:rowOff>
    </xdr:to>
    <xdr:grpSp>
      <xdr:nvGrpSpPr>
        <xdr:cNvPr id="106" name="Group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GrpSpPr/>
      </xdr:nvGrpSpPr>
      <xdr:grpSpPr>
        <a:xfrm>
          <a:off x="12637104" y="5920845"/>
          <a:ext cx="4687660" cy="1184041"/>
          <a:chOff x="3437822" y="4259255"/>
          <a:chExt cx="6031773" cy="1413057"/>
        </a:xfrm>
      </xdr:grpSpPr>
      <xdr:grpSp>
        <xdr:nvGrpSpPr>
          <xdr:cNvPr id="129" name="Groupe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GrpSpPr/>
        </xdr:nvGrpSpPr>
        <xdr:grpSpPr>
          <a:xfrm>
            <a:off x="3437822" y="4259255"/>
            <a:ext cx="6031773" cy="1413057"/>
            <a:chOff x="4233027" y="3315714"/>
            <a:chExt cx="5718483" cy="1413057"/>
          </a:xfrm>
        </xdr:grpSpPr>
        <xdr:sp macro="[0]!GoToInventory" textlink="">
          <xdr:nvSpPr>
            <xdr:cNvPr id="131" name="Rectangle : coins arrondis 130">
              <a:extLst>
                <a:ext uri="{FF2B5EF4-FFF2-40B4-BE49-F238E27FC236}">
                  <a16:creationId xmlns:a16="http://schemas.microsoft.com/office/drawing/2014/main" id="{00000000-0008-0000-0000-000083000000}"/>
                </a:ext>
              </a:extLst>
            </xdr:cNvPr>
            <xdr:cNvSpPr/>
          </xdr:nvSpPr>
          <xdr:spPr>
            <a:xfrm>
              <a:off x="5450575" y="3684966"/>
              <a:ext cx="4500935" cy="695325"/>
            </a:xfrm>
            <a:prstGeom prst="roundRect">
              <a:avLst/>
            </a:prstGeom>
            <a:ln w="28575">
              <a:solidFill>
                <a:schemeClr val="accent4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fr-FR" sz="2000"/>
                <a:t>Voir le tableau des </a:t>
              </a:r>
              <a:r>
                <a:rPr lang="fr-FR" sz="2000" baseline="0"/>
                <a:t>réconciliations</a:t>
              </a:r>
              <a:endParaRPr lang="fr-FR" sz="2000"/>
            </a:p>
          </xdr:txBody>
        </xdr:sp>
        <xdr:pic macro="[0]!GoToInventory">
          <xdr:nvPicPr>
            <xdr:cNvPr id="132" name="Picture 4" descr="History - Free ui icons">
              <a:extLst>
                <a:ext uri="{FF2B5EF4-FFF2-40B4-BE49-F238E27FC236}">
                  <a16:creationId xmlns:a16="http://schemas.microsoft.com/office/drawing/2014/main" id="{00000000-0008-0000-0000-000084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4233027" y="3315714"/>
              <a:ext cx="1413057" cy="1413057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[0]!GoToInventory" textlink="">
        <xdr:nvSpPr>
          <xdr:cNvPr id="130" name="Lune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 rot="11353051">
            <a:off x="4270751" y="4521069"/>
            <a:ext cx="458205" cy="980130"/>
          </a:xfrm>
          <a:prstGeom prst="moon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</xdr:grpSp>
    <xdr:clientData/>
  </xdr:twoCellAnchor>
  <xdr:twoCellAnchor>
    <xdr:from>
      <xdr:col>9</xdr:col>
      <xdr:colOff>238388</xdr:colOff>
      <xdr:row>36</xdr:row>
      <xdr:rowOff>148141</xdr:rowOff>
    </xdr:from>
    <xdr:to>
      <xdr:col>15</xdr:col>
      <xdr:colOff>89317</xdr:colOff>
      <xdr:row>43</xdr:row>
      <xdr:rowOff>74989</xdr:rowOff>
    </xdr:to>
    <xdr:grpSp>
      <xdr:nvGrpSpPr>
        <xdr:cNvPr id="108" name="Groupe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GrpSpPr/>
      </xdr:nvGrpSpPr>
      <xdr:grpSpPr>
        <a:xfrm>
          <a:off x="7345770" y="6632068"/>
          <a:ext cx="4589183" cy="1187612"/>
          <a:chOff x="2982480" y="2581158"/>
          <a:chExt cx="6166799" cy="1417320"/>
        </a:xfrm>
      </xdr:grpSpPr>
      <xdr:sp macro="[0]!GoToMouvement" textlink="">
        <xdr:nvSpPr>
          <xdr:cNvPr id="124" name="Rectangle : coins arrondis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SpPr/>
        </xdr:nvSpPr>
        <xdr:spPr>
          <a:xfrm>
            <a:off x="3927487" y="2979198"/>
            <a:ext cx="5221792" cy="698240"/>
          </a:xfrm>
          <a:prstGeom prst="roundRect">
            <a:avLst/>
          </a:prstGeom>
          <a:ln w="28575">
            <a:solidFill>
              <a:schemeClr val="accent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000"/>
              <a:t>Etablir un ordre de mouvement</a:t>
            </a:r>
          </a:p>
        </xdr:txBody>
      </xdr:sp>
      <xdr:pic macro="[0]!GoToMouvement">
        <xdr:nvPicPr>
          <xdr:cNvPr id="125" name="Picture 2" descr="Google docs - Free logo icons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982480" y="2581158"/>
            <a:ext cx="1417320" cy="141732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238387</xdr:colOff>
      <xdr:row>9</xdr:row>
      <xdr:rowOff>53028</xdr:rowOff>
    </xdr:from>
    <xdr:to>
      <xdr:col>17</xdr:col>
      <xdr:colOff>142252</xdr:colOff>
      <xdr:row>24</xdr:row>
      <xdr:rowOff>172586</xdr:rowOff>
    </xdr:to>
    <xdr:grpSp>
      <xdr:nvGrpSpPr>
        <xdr:cNvPr id="109" name="Groupe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GrpSpPr/>
      </xdr:nvGrpSpPr>
      <xdr:grpSpPr>
        <a:xfrm>
          <a:off x="7345769" y="1674010"/>
          <a:ext cx="6221538" cy="2821194"/>
          <a:chOff x="4501772" y="445346"/>
          <a:chExt cx="4916472" cy="2821194"/>
        </a:xfrm>
      </xdr:grpSpPr>
      <xdr:grpSp>
        <xdr:nvGrpSpPr>
          <xdr:cNvPr id="110" name="Groupe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GrpSpPr/>
        </xdr:nvGrpSpPr>
        <xdr:grpSpPr>
          <a:xfrm>
            <a:off x="6965556" y="445346"/>
            <a:ext cx="2452688" cy="2821194"/>
            <a:chOff x="6965556" y="445346"/>
            <a:chExt cx="2452688" cy="2821194"/>
          </a:xfrm>
        </xdr:grpSpPr>
        <xdr:grpSp>
          <xdr:nvGrpSpPr>
            <xdr:cNvPr id="118" name="Groupe 117">
              <a:extLst>
                <a:ext uri="{FF2B5EF4-FFF2-40B4-BE49-F238E27FC236}">
                  <a16:creationId xmlns:a16="http://schemas.microsoft.com/office/drawing/2014/main" id="{00000000-0008-0000-0000-000076000000}"/>
                </a:ext>
              </a:extLst>
            </xdr:cNvPr>
            <xdr:cNvGrpSpPr/>
          </xdr:nvGrpSpPr>
          <xdr:grpSpPr>
            <a:xfrm>
              <a:off x="6965556" y="445346"/>
              <a:ext cx="2452688" cy="1410597"/>
              <a:chOff x="6965556" y="445346"/>
              <a:chExt cx="2452688" cy="1410597"/>
            </a:xfrm>
          </xdr:grpSpPr>
          <xdr:sp macro="" textlink="">
            <xdr:nvSpPr>
              <xdr:cNvPr id="122" name="profile_id">
                <a:extLst>
                  <a:ext uri="{FF2B5EF4-FFF2-40B4-BE49-F238E27FC236}">
                    <a16:creationId xmlns:a16="http://schemas.microsoft.com/office/drawing/2014/main" id="{00000000-0008-0000-0000-00007A000000}"/>
                  </a:ext>
                </a:extLst>
              </xdr:cNvPr>
              <xdr:cNvSpPr/>
            </xdr:nvSpPr>
            <xdr:spPr>
              <a:xfrm>
                <a:off x="6965556" y="1149887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adminABK</a:t>
                </a:r>
              </a:p>
            </xdr:txBody>
          </xdr:sp>
          <xdr:sp macro="" textlink="">
            <xdr:nvSpPr>
              <xdr:cNvPr id="123" name="fullname_text">
                <a:extLst>
                  <a:ext uri="{FF2B5EF4-FFF2-40B4-BE49-F238E27FC236}">
                    <a16:creationId xmlns:a16="http://schemas.microsoft.com/office/drawing/2014/main" id="{00000000-0008-0000-0000-00007B000000}"/>
                  </a:ext>
                </a:extLst>
              </xdr:cNvPr>
              <xdr:cNvSpPr/>
            </xdr:nvSpPr>
            <xdr:spPr>
              <a:xfrm>
                <a:off x="6965556" y="445346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admin</a:t>
                </a:r>
              </a:p>
            </xdr:txBody>
          </xdr:sp>
        </xdr:grpSp>
        <xdr:grpSp>
          <xdr:nvGrpSpPr>
            <xdr:cNvPr id="119" name="Groupe 118">
              <a:extLst>
                <a:ext uri="{FF2B5EF4-FFF2-40B4-BE49-F238E27FC236}">
                  <a16:creationId xmlns:a16="http://schemas.microsoft.com/office/drawing/2014/main" id="{00000000-0008-0000-0000-000077000000}"/>
                </a:ext>
              </a:extLst>
            </xdr:cNvPr>
            <xdr:cNvGrpSpPr/>
          </xdr:nvGrpSpPr>
          <xdr:grpSpPr>
            <a:xfrm>
              <a:off x="6965556" y="1855943"/>
              <a:ext cx="2452688" cy="1410597"/>
              <a:chOff x="6965556" y="445346"/>
              <a:chExt cx="2452688" cy="1410597"/>
            </a:xfrm>
          </xdr:grpSpPr>
          <xdr:sp macro="" textlink="">
            <xdr:nvSpPr>
              <xdr:cNvPr id="120" name="magasin_text">
                <a:extLst>
                  <a:ext uri="{FF2B5EF4-FFF2-40B4-BE49-F238E27FC236}">
                    <a16:creationId xmlns:a16="http://schemas.microsoft.com/office/drawing/2014/main" id="{00000000-0008-0000-0000-000078000000}"/>
                  </a:ext>
                </a:extLst>
              </xdr:cNvPr>
              <xdr:cNvSpPr/>
            </xdr:nvSpPr>
            <xdr:spPr>
              <a:xfrm>
                <a:off x="6965556" y="1149887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ola</a:t>
                </a:r>
              </a:p>
            </xdr:txBody>
          </xdr:sp>
          <xdr:sp macro="" textlink="">
            <xdr:nvSpPr>
              <xdr:cNvPr id="121" name="type_text">
                <a:extLst>
                  <a:ext uri="{FF2B5EF4-FFF2-40B4-BE49-F238E27FC236}">
                    <a16:creationId xmlns:a16="http://schemas.microsoft.com/office/drawing/2014/main" id="{00000000-0008-0000-0000-000079000000}"/>
                  </a:ext>
                </a:extLst>
              </xdr:cNvPr>
              <xdr:cNvSpPr/>
            </xdr:nvSpPr>
            <xdr:spPr>
              <a:xfrm>
                <a:off x="6965556" y="445346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Manager</a:t>
                </a:r>
              </a:p>
            </xdr:txBody>
          </xdr:sp>
        </xdr:grpSp>
      </xdr:grpSp>
      <xdr:grpSp>
        <xdr:nvGrpSpPr>
          <xdr:cNvPr id="111" name="Groupe 110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GrpSpPr/>
        </xdr:nvGrpSpPr>
        <xdr:grpSpPr>
          <a:xfrm>
            <a:off x="4501772" y="445346"/>
            <a:ext cx="2452688" cy="2821194"/>
            <a:chOff x="6965556" y="445346"/>
            <a:chExt cx="2452688" cy="2821194"/>
          </a:xfrm>
        </xdr:grpSpPr>
        <xdr:grpSp>
          <xdr:nvGrpSpPr>
            <xdr:cNvPr id="112" name="Groupe 111">
              <a:extLst>
                <a:ext uri="{FF2B5EF4-FFF2-40B4-BE49-F238E27FC236}">
                  <a16:creationId xmlns:a16="http://schemas.microsoft.com/office/drawing/2014/main" id="{00000000-0008-0000-0000-000070000000}"/>
                </a:ext>
              </a:extLst>
            </xdr:cNvPr>
            <xdr:cNvGrpSpPr/>
          </xdr:nvGrpSpPr>
          <xdr:grpSpPr>
            <a:xfrm>
              <a:off x="6965556" y="445346"/>
              <a:ext cx="2452688" cy="1410597"/>
              <a:chOff x="6965556" y="445346"/>
              <a:chExt cx="2452688" cy="1410597"/>
            </a:xfrm>
          </xdr:grpSpPr>
          <xdr:sp macro="" textlink="">
            <xdr:nvSpPr>
              <xdr:cNvPr id="116" name="Rectangle 115">
                <a:extLst>
                  <a:ext uri="{FF2B5EF4-FFF2-40B4-BE49-F238E27FC236}">
                    <a16:creationId xmlns:a16="http://schemas.microsoft.com/office/drawing/2014/main" id="{00000000-0008-0000-0000-000074000000}"/>
                  </a:ext>
                </a:extLst>
              </xdr:cNvPr>
              <xdr:cNvSpPr/>
            </xdr:nvSpPr>
            <xdr:spPr>
              <a:xfrm>
                <a:off x="6965556" y="1149887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Profil ID</a:t>
                </a:r>
              </a:p>
            </xdr:txBody>
          </xdr:sp>
          <xdr:sp macro="" textlink="">
            <xdr:nvSpPr>
              <xdr:cNvPr id="117" name="Rectangle 116">
                <a:extLst>
                  <a:ext uri="{FF2B5EF4-FFF2-40B4-BE49-F238E27FC236}">
                    <a16:creationId xmlns:a16="http://schemas.microsoft.com/office/drawing/2014/main" id="{00000000-0008-0000-0000-000075000000}"/>
                  </a:ext>
                </a:extLst>
              </xdr:cNvPr>
              <xdr:cNvSpPr/>
            </xdr:nvSpPr>
            <xdr:spPr>
              <a:xfrm>
                <a:off x="6965556" y="445346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Profil Connecté</a:t>
                </a:r>
              </a:p>
            </xdr:txBody>
          </xdr:sp>
        </xdr:grpSp>
        <xdr:grpSp>
          <xdr:nvGrpSpPr>
            <xdr:cNvPr id="113" name="Groupe 112">
              <a:extLst>
                <a:ext uri="{FF2B5EF4-FFF2-40B4-BE49-F238E27FC236}">
                  <a16:creationId xmlns:a16="http://schemas.microsoft.com/office/drawing/2014/main" id="{00000000-0008-0000-0000-000071000000}"/>
                </a:ext>
              </a:extLst>
            </xdr:cNvPr>
            <xdr:cNvGrpSpPr/>
          </xdr:nvGrpSpPr>
          <xdr:grpSpPr>
            <a:xfrm>
              <a:off x="6965556" y="1855943"/>
              <a:ext cx="2452688" cy="1410597"/>
              <a:chOff x="6965556" y="445346"/>
              <a:chExt cx="2452688" cy="1410597"/>
            </a:xfrm>
          </xdr:grpSpPr>
          <xdr:sp macro="" textlink="">
            <xdr:nvSpPr>
              <xdr:cNvPr id="114" name="Rectangle 113">
                <a:extLst>
                  <a:ext uri="{FF2B5EF4-FFF2-40B4-BE49-F238E27FC236}">
                    <a16:creationId xmlns:a16="http://schemas.microsoft.com/office/drawing/2014/main" id="{00000000-0008-0000-0000-000072000000}"/>
                  </a:ext>
                </a:extLst>
              </xdr:cNvPr>
              <xdr:cNvSpPr/>
            </xdr:nvSpPr>
            <xdr:spPr>
              <a:xfrm>
                <a:off x="6965556" y="1149887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Magasin</a:t>
                </a:r>
              </a:p>
            </xdr:txBody>
          </xdr:sp>
          <xdr:sp macro="" textlink="">
            <xdr:nvSpPr>
              <xdr:cNvPr id="115" name="Rectangle 114">
                <a:extLst>
                  <a:ext uri="{FF2B5EF4-FFF2-40B4-BE49-F238E27FC236}">
                    <a16:creationId xmlns:a16="http://schemas.microsoft.com/office/drawing/2014/main" id="{00000000-0008-0000-0000-000073000000}"/>
                  </a:ext>
                </a:extLst>
              </xdr:cNvPr>
              <xdr:cNvSpPr/>
            </xdr:nvSpPr>
            <xdr:spPr>
              <a:xfrm>
                <a:off x="6965556" y="445346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Type de Profil</a:t>
                </a:r>
              </a:p>
            </xdr:txBody>
          </xdr:sp>
        </xdr:grp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87086</xdr:colOff>
      <xdr:row>2</xdr:row>
      <xdr:rowOff>87086</xdr:rowOff>
    </xdr:from>
    <xdr:to>
      <xdr:col>1</xdr:col>
      <xdr:colOff>1701832</xdr:colOff>
      <xdr:row>7</xdr:row>
      <xdr:rowOff>38101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BE0AE791-0D2C-4468-BE75-EB4D9423A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7826" y="704306"/>
          <a:ext cx="1614746" cy="865415"/>
        </a:xfrm>
        <a:prstGeom prst="rect">
          <a:avLst/>
        </a:prstGeom>
      </xdr:spPr>
    </xdr:pic>
    <xdr:clientData/>
  </xdr:twoCellAnchor>
  <xdr:twoCellAnchor>
    <xdr:from>
      <xdr:col>2</xdr:col>
      <xdr:colOff>609600</xdr:colOff>
      <xdr:row>2</xdr:row>
      <xdr:rowOff>54429</xdr:rowOff>
    </xdr:from>
    <xdr:to>
      <xdr:col>4</xdr:col>
      <xdr:colOff>1567542</xdr:colOff>
      <xdr:row>5</xdr:row>
      <xdr:rowOff>130629</xdr:rowOff>
    </xdr:to>
    <xdr:sp macro="" textlink="">
      <xdr:nvSpPr>
        <xdr:cNvPr id="6" name="Magasin_CD">
          <a:extLst>
            <a:ext uri="{FF2B5EF4-FFF2-40B4-BE49-F238E27FC236}">
              <a16:creationId xmlns:a16="http://schemas.microsoft.com/office/drawing/2014/main" id="{4E75DFCB-8F07-4E66-9A37-F22AB21FD76B}"/>
            </a:ext>
          </a:extLst>
        </xdr:cNvPr>
        <xdr:cNvSpPr/>
      </xdr:nvSpPr>
      <xdr:spPr>
        <a:xfrm>
          <a:off x="4678680" y="671649"/>
          <a:ext cx="5194662" cy="67056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ola</a:t>
          </a:r>
        </a:p>
      </xdr:txBody>
    </xdr:sp>
    <xdr:clientData/>
  </xdr:twoCellAnchor>
  <xdr:twoCellAnchor>
    <xdr:from>
      <xdr:col>3</xdr:col>
      <xdr:colOff>0</xdr:colOff>
      <xdr:row>54</xdr:row>
      <xdr:rowOff>0</xdr:rowOff>
    </xdr:from>
    <xdr:to>
      <xdr:col>7</xdr:col>
      <xdr:colOff>72223</xdr:colOff>
      <xdr:row>62</xdr:row>
      <xdr:rowOff>176545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721703C3-8099-4520-ACC1-8F6971BE7481}"/>
            </a:ext>
          </a:extLst>
        </xdr:cNvPr>
        <xdr:cNvGrpSpPr/>
      </xdr:nvGrpSpPr>
      <xdr:grpSpPr>
        <a:xfrm>
          <a:off x="4177553" y="10766612"/>
          <a:ext cx="6024788" cy="1610898"/>
          <a:chOff x="2528027" y="12497"/>
          <a:chExt cx="5194843" cy="1417320"/>
        </a:xfrm>
      </xdr:grpSpPr>
      <xdr:sp macro="[0]!DailyButton1_Click" textlink="">
        <xdr:nvSpPr>
          <xdr:cNvPr id="8" name="Rectangle : coins arrondis 7">
            <a:extLst>
              <a:ext uri="{FF2B5EF4-FFF2-40B4-BE49-F238E27FC236}">
                <a16:creationId xmlns:a16="http://schemas.microsoft.com/office/drawing/2014/main" id="{E606BA8D-77C0-3A7C-734F-1816D680C080}"/>
              </a:ext>
            </a:extLst>
          </xdr:cNvPr>
          <xdr:cNvSpPr/>
        </xdr:nvSpPr>
        <xdr:spPr>
          <a:xfrm>
            <a:off x="3682456" y="435520"/>
            <a:ext cx="4040414" cy="661200"/>
          </a:xfrm>
          <a:prstGeom prst="roundRect">
            <a:avLst/>
          </a:prstGeom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500"/>
              <a:t>Sauvegarde</a:t>
            </a:r>
            <a:r>
              <a:rPr lang="en-US" sz="2500"/>
              <a:t> d'inventaire</a:t>
            </a:r>
            <a:endParaRPr lang="fr-FR" sz="2500"/>
          </a:p>
        </xdr:txBody>
      </xdr:sp>
      <xdr:pic macro="[0]!DailyButton1_Click">
        <xdr:nvPicPr>
          <xdr:cNvPr id="9" name="Picture 4" descr="Floppy, guardar, save icon - Free download on Iconfinder">
            <a:extLst>
              <a:ext uri="{FF2B5EF4-FFF2-40B4-BE49-F238E27FC236}">
                <a16:creationId xmlns:a16="http://schemas.microsoft.com/office/drawing/2014/main" id="{19342605-EA8F-5291-CE4F-01D44DE88C8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28027" y="12497"/>
            <a:ext cx="1417320" cy="141732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291738</xdr:colOff>
      <xdr:row>52</xdr:row>
      <xdr:rowOff>10885</xdr:rowOff>
    </xdr:from>
    <xdr:to>
      <xdr:col>5</xdr:col>
      <xdr:colOff>518161</xdr:colOff>
      <xdr:row>62</xdr:row>
      <xdr:rowOff>21771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7DC567C-227D-4C5E-A6C1-073458716545}"/>
            </a:ext>
          </a:extLst>
        </xdr:cNvPr>
        <xdr:cNvGrpSpPr/>
      </xdr:nvGrpSpPr>
      <xdr:grpSpPr>
        <a:xfrm>
          <a:off x="5614852" y="10907485"/>
          <a:ext cx="7955280" cy="1861457"/>
          <a:chOff x="3176155" y="1321442"/>
          <a:chExt cx="5952309" cy="1417321"/>
        </a:xfrm>
      </xdr:grpSpPr>
      <xdr:sp macro="[0]!GoToMENU" textlink="">
        <xdr:nvSpPr>
          <xdr:cNvPr id="20" name="Rectangle : coins arrondis 19">
            <a:extLst>
              <a:ext uri="{FF2B5EF4-FFF2-40B4-BE49-F238E27FC236}">
                <a16:creationId xmlns:a16="http://schemas.microsoft.com/office/drawing/2014/main" id="{315A0E3B-F1DE-43FE-8162-3C59C83C24F3}"/>
              </a:ext>
            </a:extLst>
          </xdr:cNvPr>
          <xdr:cNvSpPr/>
        </xdr:nvSpPr>
        <xdr:spPr>
          <a:xfrm>
            <a:off x="4372496" y="1746104"/>
            <a:ext cx="4755968" cy="661200"/>
          </a:xfrm>
          <a:prstGeom prst="roundRect">
            <a:avLst/>
          </a:prstGeom>
          <a:ln w="28575">
            <a:solidFill>
              <a:srgbClr val="A3D4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500"/>
              <a:t>Retour </a:t>
            </a:r>
            <a:r>
              <a:rPr lang="en-US" sz="2500"/>
              <a:t>à</a:t>
            </a:r>
            <a:r>
              <a:rPr lang="fr-FR" sz="2500"/>
              <a:t> L’accueil</a:t>
            </a:r>
          </a:p>
        </xdr:txBody>
      </xdr:sp>
      <xdr:pic macro="[0]!GoToMENU">
        <xdr:nvPicPr>
          <xdr:cNvPr id="21" name="Image 20" descr="Une image contenant clipart, Graphique, symbole, conception&#10;&#10;Description générée automatiquement">
            <a:extLst>
              <a:ext uri="{FF2B5EF4-FFF2-40B4-BE49-F238E27FC236}">
                <a16:creationId xmlns:a16="http://schemas.microsoft.com/office/drawing/2014/main" id="{BE86126A-4004-42BB-A348-99FEEEE664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76155" y="1321442"/>
            <a:ext cx="1417321" cy="1417321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81148</xdr:colOff>
      <xdr:row>1</xdr:row>
      <xdr:rowOff>125681</xdr:rowOff>
    </xdr:from>
    <xdr:to>
      <xdr:col>8</xdr:col>
      <xdr:colOff>794111</xdr:colOff>
      <xdr:row>7</xdr:row>
      <xdr:rowOff>113804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6C793EBF-04AD-4F88-B5AD-D589FD1A8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71221" y="485899"/>
          <a:ext cx="2403216" cy="11519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206829</xdr:colOff>
      <xdr:row>5</xdr:row>
      <xdr:rowOff>76200</xdr:rowOff>
    </xdr:from>
    <xdr:to>
      <xdr:col>6</xdr:col>
      <xdr:colOff>609600</xdr:colOff>
      <xdr:row>8</xdr:row>
      <xdr:rowOff>403111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7E9A5968-A6DD-4C68-A7E1-B039EE47B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829" y="794657"/>
          <a:ext cx="4147457" cy="1989195"/>
        </a:xfrm>
        <a:prstGeom prst="rect">
          <a:avLst/>
        </a:prstGeom>
      </xdr:spPr>
    </xdr:pic>
    <xdr:clientData/>
  </xdr:twoCellAnchor>
  <xdr:twoCellAnchor>
    <xdr:from>
      <xdr:col>8</xdr:col>
      <xdr:colOff>1278052</xdr:colOff>
      <xdr:row>16</xdr:row>
      <xdr:rowOff>165440</xdr:rowOff>
    </xdr:from>
    <xdr:to>
      <xdr:col>9</xdr:col>
      <xdr:colOff>1326148</xdr:colOff>
      <xdr:row>21</xdr:row>
      <xdr:rowOff>162470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054B9B11-01DB-41C0-BB16-AE34DB44C195}"/>
            </a:ext>
          </a:extLst>
        </xdr:cNvPr>
        <xdr:cNvSpPr/>
      </xdr:nvSpPr>
      <xdr:spPr>
        <a:xfrm>
          <a:off x="17709543" y="5319331"/>
          <a:ext cx="1585950" cy="1036121"/>
        </a:xfrm>
        <a:prstGeom prst="rightArrow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250082</xdr:colOff>
      <xdr:row>37</xdr:row>
      <xdr:rowOff>151237</xdr:rowOff>
    </xdr:from>
    <xdr:to>
      <xdr:col>17</xdr:col>
      <xdr:colOff>96982</xdr:colOff>
      <xdr:row>42</xdr:row>
      <xdr:rowOff>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D918F326-5010-4D51-BD95-2E72452780DC}"/>
            </a:ext>
          </a:extLst>
        </xdr:cNvPr>
        <xdr:cNvGrpSpPr/>
      </xdr:nvGrpSpPr>
      <xdr:grpSpPr>
        <a:xfrm>
          <a:off x="25784009" y="10777673"/>
          <a:ext cx="3490646" cy="1026401"/>
          <a:chOff x="3379882" y="1400231"/>
          <a:chExt cx="3148934" cy="747407"/>
        </a:xfrm>
      </xdr:grpSpPr>
      <xdr:sp macro="[0]!AddNewRecord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FD48DB5F-7BC6-4304-B31C-7DE444A48D14}"/>
              </a:ext>
            </a:extLst>
          </xdr:cNvPr>
          <xdr:cNvSpPr/>
        </xdr:nvSpPr>
        <xdr:spPr>
          <a:xfrm>
            <a:off x="3960587" y="1614361"/>
            <a:ext cx="2568229" cy="326783"/>
          </a:xfrm>
          <a:prstGeom prst="roundRect">
            <a:avLst/>
          </a:prstGeom>
          <a:ln w="28575">
            <a:solidFill>
              <a:srgbClr val="67C1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300"/>
              <a:t>Ajouter</a:t>
            </a:r>
            <a:r>
              <a:rPr lang="en-US" sz="1300"/>
              <a:t> un article  au </a:t>
            </a:r>
            <a:r>
              <a:rPr lang="fr-FR" sz="1300"/>
              <a:t>mouvement</a:t>
            </a:r>
          </a:p>
        </xdr:txBody>
      </xdr:sp>
      <xdr:pic macro="[0]!AddNewRecord">
        <xdr:nvPicPr>
          <xdr:cNvPr id="19" name="Image 18" descr="Add, create, new, plus icon - Free download on Iconfinder">
            <a:extLst>
              <a:ext uri="{FF2B5EF4-FFF2-40B4-BE49-F238E27FC236}">
                <a16:creationId xmlns:a16="http://schemas.microsoft.com/office/drawing/2014/main" id="{C154E720-ACD1-4596-B3E4-0B4002892F6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9882" y="1400231"/>
            <a:ext cx="755404" cy="7474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14</xdr:col>
      <xdr:colOff>98219</xdr:colOff>
      <xdr:row>30</xdr:row>
      <xdr:rowOff>40536</xdr:rowOff>
    </xdr:from>
    <xdr:to>
      <xdr:col>19</xdr:col>
      <xdr:colOff>1186921</xdr:colOff>
      <xdr:row>37</xdr:row>
      <xdr:rowOff>202622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FB133A3C-2FBE-4DF8-9E35-AA5DAEE6A42E}"/>
            </a:ext>
          </a:extLst>
        </xdr:cNvPr>
        <xdr:cNvGrpSpPr/>
      </xdr:nvGrpSpPr>
      <xdr:grpSpPr>
        <a:xfrm>
          <a:off x="25632146" y="9045991"/>
          <a:ext cx="8570157" cy="1783067"/>
          <a:chOff x="2528027" y="12497"/>
          <a:chExt cx="5194843" cy="1417320"/>
        </a:xfrm>
      </xdr:grpSpPr>
      <xdr:sp macro="[0]!SaveMovementData" textlink="">
        <xdr:nvSpPr>
          <xdr:cNvPr id="24" name="Rectangle : coins arrondis 23">
            <a:extLst>
              <a:ext uri="{FF2B5EF4-FFF2-40B4-BE49-F238E27FC236}">
                <a16:creationId xmlns:a16="http://schemas.microsoft.com/office/drawing/2014/main" id="{7E8BFFC7-B240-4841-9D41-3C2FFB6B9718}"/>
              </a:ext>
            </a:extLst>
          </xdr:cNvPr>
          <xdr:cNvSpPr/>
        </xdr:nvSpPr>
        <xdr:spPr>
          <a:xfrm>
            <a:off x="3682456" y="435520"/>
            <a:ext cx="4040414" cy="661200"/>
          </a:xfrm>
          <a:prstGeom prst="roundRect">
            <a:avLst/>
          </a:prstGeom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500"/>
              <a:t>Sauvegarde</a:t>
            </a:r>
            <a:r>
              <a:rPr lang="en-US" sz="2500"/>
              <a:t> de mouvement</a:t>
            </a:r>
            <a:endParaRPr lang="fr-FR" sz="2500"/>
          </a:p>
        </xdr:txBody>
      </xdr:sp>
      <xdr:pic macro="[0]!SaveMovementData">
        <xdr:nvPicPr>
          <xdr:cNvPr id="25" name="Picture 4" descr="Floppy, guardar, save icon - Free download on Iconfinder">
            <a:extLst>
              <a:ext uri="{FF2B5EF4-FFF2-40B4-BE49-F238E27FC236}">
                <a16:creationId xmlns:a16="http://schemas.microsoft.com/office/drawing/2014/main" id="{CB9BA7B5-4906-4D42-B16D-B26E783191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28027" y="12497"/>
            <a:ext cx="1417320" cy="141732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20</xdr:col>
      <xdr:colOff>213706</xdr:colOff>
      <xdr:row>30</xdr:row>
      <xdr:rowOff>179070</xdr:rowOff>
    </xdr:from>
    <xdr:to>
      <xdr:col>29</xdr:col>
      <xdr:colOff>713162</xdr:colOff>
      <xdr:row>39</xdr:row>
      <xdr:rowOff>150668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99821682-F13B-4697-8B02-B827EA376A9D}"/>
            </a:ext>
          </a:extLst>
        </xdr:cNvPr>
        <xdr:cNvGrpSpPr/>
      </xdr:nvGrpSpPr>
      <xdr:grpSpPr>
        <a:xfrm>
          <a:off x="34697670" y="9184525"/>
          <a:ext cx="8895310" cy="2063634"/>
          <a:chOff x="3176155" y="1321442"/>
          <a:chExt cx="5952309" cy="1417321"/>
        </a:xfrm>
      </xdr:grpSpPr>
      <xdr:sp macro="[0]!GoToMENU" textlink="">
        <xdr:nvSpPr>
          <xdr:cNvPr id="11" name="Rectangle : coins arrondis 10">
            <a:extLst>
              <a:ext uri="{FF2B5EF4-FFF2-40B4-BE49-F238E27FC236}">
                <a16:creationId xmlns:a16="http://schemas.microsoft.com/office/drawing/2014/main" id="{406AEEFA-A282-445D-ACF4-D87BAADC3F7D}"/>
              </a:ext>
            </a:extLst>
          </xdr:cNvPr>
          <xdr:cNvSpPr/>
        </xdr:nvSpPr>
        <xdr:spPr>
          <a:xfrm>
            <a:off x="4372496" y="1746104"/>
            <a:ext cx="4755968" cy="661200"/>
          </a:xfrm>
          <a:prstGeom prst="roundRect">
            <a:avLst/>
          </a:prstGeom>
          <a:ln w="28575">
            <a:solidFill>
              <a:srgbClr val="A3D4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500"/>
              <a:t>Retour </a:t>
            </a:r>
            <a:r>
              <a:rPr lang="en-US" sz="2500"/>
              <a:t>à</a:t>
            </a:r>
            <a:r>
              <a:rPr lang="fr-FR" sz="2500"/>
              <a:t> L’accueil</a:t>
            </a:r>
          </a:p>
        </xdr:txBody>
      </xdr:sp>
      <xdr:pic macro="[0]!GoToMENU">
        <xdr:nvPicPr>
          <xdr:cNvPr id="12" name="Image 11" descr="Une image contenant clipart, Graphique, symbole, conception&#10;&#10;Description générée automatiquement">
            <a:extLst>
              <a:ext uri="{FF2B5EF4-FFF2-40B4-BE49-F238E27FC236}">
                <a16:creationId xmlns:a16="http://schemas.microsoft.com/office/drawing/2014/main" id="{AFA327C1-BF29-420E-8586-1A832FA9F5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76155" y="1321442"/>
            <a:ext cx="1417321" cy="1417321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1025236</xdr:colOff>
      <xdr:row>4</xdr:row>
      <xdr:rowOff>83128</xdr:rowOff>
    </xdr:from>
    <xdr:to>
      <xdr:col>8</xdr:col>
      <xdr:colOff>1274618</xdr:colOff>
      <xdr:row>6</xdr:row>
      <xdr:rowOff>193964</xdr:rowOff>
    </xdr:to>
    <xdr:sp macro="" textlink="">
      <xdr:nvSpPr>
        <xdr:cNvPr id="4" name="Magasin_Code">
          <a:extLst>
            <a:ext uri="{FF2B5EF4-FFF2-40B4-BE49-F238E27FC236}">
              <a16:creationId xmlns:a16="http://schemas.microsoft.com/office/drawing/2014/main" id="{3A55D3C2-5C85-4B8C-A40F-AEE1E1123EBE}"/>
            </a:ext>
          </a:extLst>
        </xdr:cNvPr>
        <xdr:cNvSpPr/>
      </xdr:nvSpPr>
      <xdr:spPr>
        <a:xfrm>
          <a:off x="10945091" y="1136073"/>
          <a:ext cx="6913418" cy="1025236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ola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6EEE8F-1B8F-4CC7-818D-88AC2E555232}" name="Tableau2" displayName="Tableau2" ref="A1:J27" totalsRowShown="0" headerRowBorderDxfId="26" tableBorderDxfId="25">
  <autoFilter ref="A1:J27" xr:uid="{CB6EEE8F-1B8F-4CC7-818D-88AC2E555232}"/>
  <tableColumns count="10">
    <tableColumn id="1" xr3:uid="{8A40B165-E4B8-4322-9B7A-A4014F581BB9}" name="Date"/>
    <tableColumn id="2" xr3:uid="{30E05DDD-B4E7-4B32-A2E7-02E672E6CD32}" name="Heure"/>
    <tableColumn id="3" xr3:uid="{6EC3975C-89F1-4D4D-92A1-F63D1B418B85}" name="Type d'inventaire"/>
    <tableColumn id="4" xr3:uid="{DBC39089-6F73-4530-82AB-EDCFE9D2B3BF}" name="Article"/>
    <tableColumn id="5" xr3:uid="{362F7B86-8A17-4526-B4F8-F12A3E8326F8}" name="Emballage"/>
    <tableColumn id="6" xr3:uid="{4588A5A1-23AE-4411-8E11-5042B3A3B602}" name="Quantité"/>
    <tableColumn id="7" xr3:uid="{892E525D-7F79-45F8-8670-6E524F53B615}" name="Régulier/Ajustement"/>
    <tableColumn id="8" xr3:uid="{A6CB2042-BC05-4C78-A398-FA7B994161D2}" name="Expéditeur" dataDxfId="24"/>
    <tableColumn id="9" xr3:uid="{F0567EEF-6767-435F-89A8-B95F35AEF5CB}" name="Marque"/>
    <tableColumn id="10" xr3:uid="{11ABD2AB-40FA-46AB-AF7D-6B7125AB635B}" name="Saisi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B0FDF2-E815-4116-BEE7-28C10841CCD6}" name="Tableau3" displayName="Tableau3" ref="A1:P18" totalsRowShown="0" dataDxfId="23">
  <autoFilter ref="A1:P18" xr:uid="{0338E879-7ECA-4804-A783-9F887CD6572B}"/>
  <tableColumns count="16">
    <tableColumn id="1" xr3:uid="{F6E4203C-F6F5-4D95-9BEA-DB1CFC105F9F}" name="FA" dataDxfId="22"/>
    <tableColumn id="2" xr3:uid="{6A65A82A-3DC9-4A6F-AEB1-670E10E085A5}" name="Fiche de mouvement" dataDxfId="21"/>
    <tableColumn id="3" xr3:uid="{B2B7BBB7-FE90-4A27-80A4-00BCFE423344}" name="Type de Mouvement" dataDxfId="20"/>
    <tableColumn id="4" xr3:uid="{312085F4-9665-478B-ABCD-C1DCC1C215EB}" name="Date mouvement" dataDxfId="19"/>
    <tableColumn id="5" xr3:uid="{08B95FA5-9E36-4EFD-BF81-DDACA611E9CE}" name="Source" dataDxfId="18"/>
    <tableColumn id="6" xr3:uid="{9FD5D1DB-20C7-4EF5-8056-E7988A5B3C3C}" name="Destination" dataDxfId="17"/>
    <tableColumn id="7" xr3:uid="{1384A5F2-3C2E-4A62-8492-40D66F5F386C}" name="Numero" dataDxfId="16"/>
    <tableColumn id="8" xr3:uid="{1377F426-FE9D-4196-A161-D63552F8E0A7}" name="Article" dataDxfId="15"/>
    <tableColumn id="9" xr3:uid="{DB6A9BDE-A545-49A3-B962-3A67CC2EE39B}" name="Emballage" dataDxfId="14"/>
    <tableColumn id="10" xr3:uid="{DDFE59CD-B248-4A63-A150-A817678D42A1}" name="Quantite" dataDxfId="13"/>
    <tableColumn id="11" xr3:uid="{4D19FA4F-11C6-45B0-8030-BC395090A6D7}" name="Marque" dataDxfId="12"/>
    <tableColumn id="12" xr3:uid="{30479D69-DF39-4F50-990A-F14943C92532}" name="Commentaire" dataDxfId="11"/>
    <tableColumn id="13" xr3:uid="{FE746B6D-3A16-43E2-A406-BC7B1BB68E72}" name="Gestionnaire de stock" dataDxfId="10"/>
    <tableColumn id="14" xr3:uid="{5B25FE40-6BC7-4286-A328-11E1E6BF95EF}" name="Agent de gardinnage" dataDxfId="9"/>
    <tableColumn id="15" xr3:uid="{40697C8A-D549-4032-9EB5-51582116BDAE}" name="Transporteur " dataDxfId="8"/>
    <tableColumn id="16" xr3:uid="{250D8A17-B0CF-4C5D-82DD-4A12C951A084}" name="Noms concernes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86B71F-FAE0-4A70-AEB0-EEF432D96066}" name="Tableau1" displayName="Tableau1" ref="M1:R16" insertRowShift="1" totalsRowShown="0" dataDxfId="6">
  <autoFilter ref="M1:R16" xr:uid="{38A66601-C8F5-4286-A61A-6A3D9A36B5DE}"/>
  <tableColumns count="6">
    <tableColumn id="1" xr3:uid="{26EFB5CE-F0E0-4119-9394-BB61D09F9CD8}" name="Name" dataDxfId="5"/>
    <tableColumn id="2" xr3:uid="{F8563323-8D37-49FA-8093-6217F4E2DFA1}" name="ID" dataDxfId="4"/>
    <tableColumn id="3" xr3:uid="{93AC636E-E97C-4D5D-93DA-933A9409D500}" name="Affectation" dataDxfId="3"/>
    <tableColumn id="4" xr3:uid="{F4B8E92D-A20C-4E19-8EBB-B65C26361F32}" name="Email" dataDxfId="2"/>
    <tableColumn id="5" xr3:uid="{A357229E-D8A0-414A-9F08-DCFE769DF96F}" name="Profile" dataDxfId="1"/>
    <tableColumn id="6" xr3:uid="{F133EF3F-02DD-49BB-9A32-6D2DA3579255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elabdiouihaitam@gmail,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mailto:maurice.nyemb@olaenergy.com" TargetMode="External"/><Relationship Id="rId1" Type="http://schemas.openxmlformats.org/officeDocument/2006/relationships/hyperlink" Target="mailto:magloire.bakehe@olaenergy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A1A23-7E9F-46D6-AC46-8C1E0D4BC413}">
  <sheetPr codeName="Feuil1"/>
  <dimension ref="A1"/>
  <sheetViews>
    <sheetView showGridLines="0" showRowColHeaders="0" tabSelected="1" topLeftCell="A7" zoomScale="55" zoomScaleNormal="55" workbookViewId="0">
      <selection activeCell="Y36" sqref="Y36"/>
    </sheetView>
  </sheetViews>
  <sheetFormatPr baseColWidth="10" defaultColWidth="11.5546875" defaultRowHeight="14.4" x14ac:dyDescent="0.3"/>
  <sheetData/>
  <pageMargins left="0.7" right="0.7" top="0.75" bottom="0.75" header="0.3" footer="0.3"/>
  <pageSetup paperSize="9" orientation="portrait" horizontalDpi="200" verticalDpi="200" copies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AF4FF-3186-472D-BC50-806457825173}">
  <sheetPr codeName="Feuil6">
    <pageSetUpPr fitToPage="1"/>
  </sheetPr>
  <dimension ref="B1:M50"/>
  <sheetViews>
    <sheetView showGridLines="0" topLeftCell="A5" zoomScale="85" zoomScaleNormal="85" workbookViewId="0">
      <selection activeCell="E12" sqref="E12"/>
    </sheetView>
  </sheetViews>
  <sheetFormatPr baseColWidth="10" defaultColWidth="11.5546875" defaultRowHeight="14.4" x14ac:dyDescent="0.3"/>
  <cols>
    <col min="2" max="2" width="27" customWidth="1"/>
    <col min="3" max="3" width="22.33203125" customWidth="1"/>
    <col min="4" max="4" width="26.6640625" customWidth="1"/>
    <col min="5" max="5" width="29.6640625" customWidth="1"/>
    <col min="7" max="7" width="19" customWidth="1"/>
    <col min="8" max="8" width="17.77734375" customWidth="1"/>
    <col min="10" max="10" width="36.88671875" customWidth="1"/>
    <col min="11" max="11" width="23.5546875" customWidth="1"/>
    <col min="12" max="12" width="16" customWidth="1"/>
    <col min="13" max="13" width="18.88671875" customWidth="1"/>
  </cols>
  <sheetData>
    <row r="1" spans="2:13" ht="15" thickBot="1" x14ac:dyDescent="0.35"/>
    <row r="2" spans="2:13" ht="28.2" x14ac:dyDescent="0.3">
      <c r="B2" s="119"/>
      <c r="C2" s="120"/>
      <c r="D2" s="44"/>
      <c r="E2" s="45"/>
    </row>
    <row r="3" spans="2:13" ht="15.6" x14ac:dyDescent="0.3">
      <c r="B3" s="46"/>
      <c r="C3" s="9"/>
      <c r="D3" s="9"/>
      <c r="E3" s="47"/>
    </row>
    <row r="4" spans="2:13" ht="15.6" x14ac:dyDescent="0.3">
      <c r="B4" s="46"/>
      <c r="C4" s="9"/>
      <c r="D4" s="9"/>
      <c r="E4" s="47"/>
    </row>
    <row r="5" spans="2:13" ht="15.6" x14ac:dyDescent="0.3">
      <c r="B5" s="46"/>
      <c r="C5" s="9"/>
      <c r="D5" s="9"/>
      <c r="E5" s="47"/>
    </row>
    <row r="6" spans="2:13" ht="16.2" thickBot="1" x14ac:dyDescent="0.35">
      <c r="B6" s="46"/>
      <c r="C6" s="9"/>
      <c r="D6" s="9"/>
      <c r="E6" s="47"/>
    </row>
    <row r="7" spans="2:13" ht="16.2" thickBot="1" x14ac:dyDescent="0.35">
      <c r="B7" s="48"/>
      <c r="C7" s="49"/>
      <c r="D7" s="28" t="s">
        <v>44</v>
      </c>
      <c r="E7" s="29" t="s">
        <v>65</v>
      </c>
    </row>
    <row r="8" spans="2:13" ht="15" thickBot="1" x14ac:dyDescent="0.35">
      <c r="B8" s="50" t="s">
        <v>73</v>
      </c>
      <c r="C8" s="30">
        <v>45550</v>
      </c>
      <c r="D8" s="31" t="s">
        <v>66</v>
      </c>
      <c r="E8" s="29" t="s">
        <v>67</v>
      </c>
    </row>
    <row r="9" spans="2:13" ht="15" customHeight="1" thickBot="1" x14ac:dyDescent="0.35">
      <c r="B9" s="32" t="s">
        <v>68</v>
      </c>
      <c r="C9" s="118">
        <v>0.64166666666666672</v>
      </c>
      <c r="D9" s="33" t="s">
        <v>69</v>
      </c>
      <c r="E9" s="30" t="s">
        <v>430</v>
      </c>
    </row>
    <row r="10" spans="2:13" ht="31.8" customHeight="1" x14ac:dyDescent="0.3">
      <c r="B10" s="123" t="s">
        <v>70</v>
      </c>
      <c r="C10" s="124"/>
      <c r="D10" s="125"/>
      <c r="E10" s="130" t="s">
        <v>304</v>
      </c>
      <c r="G10" s="132" t="s">
        <v>71</v>
      </c>
      <c r="H10" s="132" t="s">
        <v>72</v>
      </c>
    </row>
    <row r="11" spans="2:13" ht="15" thickBot="1" x14ac:dyDescent="0.35">
      <c r="B11" s="23" t="s">
        <v>5</v>
      </c>
      <c r="C11" s="43" t="s">
        <v>6</v>
      </c>
      <c r="D11" s="43"/>
      <c r="E11" s="131"/>
      <c r="G11" s="133"/>
      <c r="H11" s="133"/>
    </row>
    <row r="12" spans="2:13" ht="15" thickBot="1" x14ac:dyDescent="0.35">
      <c r="B12" s="3" t="s">
        <v>7</v>
      </c>
      <c r="C12" s="42" t="s">
        <v>8</v>
      </c>
      <c r="D12" s="42"/>
      <c r="E12" s="35">
        <v>0</v>
      </c>
      <c r="G12" s="36"/>
      <c r="H12" s="34"/>
    </row>
    <row r="13" spans="2:13" ht="20.399999999999999" thickBot="1" x14ac:dyDescent="0.35">
      <c r="B13" s="3" t="s">
        <v>9</v>
      </c>
      <c r="C13" s="42" t="s">
        <v>8</v>
      </c>
      <c r="D13" s="42"/>
      <c r="E13" s="35">
        <v>0</v>
      </c>
      <c r="H13" s="36"/>
      <c r="J13" s="134" t="s">
        <v>63</v>
      </c>
      <c r="K13" s="134"/>
      <c r="L13" s="134"/>
      <c r="M13" s="134"/>
    </row>
    <row r="14" spans="2:13" ht="18" thickBot="1" x14ac:dyDescent="0.35">
      <c r="B14" s="3" t="s">
        <v>10</v>
      </c>
      <c r="C14" s="42" t="s">
        <v>8</v>
      </c>
      <c r="D14" s="42"/>
      <c r="E14" s="35">
        <v>0</v>
      </c>
      <c r="G14" s="36"/>
      <c r="H14" s="36"/>
      <c r="J14" s="19" t="s">
        <v>420</v>
      </c>
      <c r="K14" s="19" t="s">
        <v>50</v>
      </c>
      <c r="L14" s="126" t="s">
        <v>419</v>
      </c>
      <c r="M14" s="127"/>
    </row>
    <row r="15" spans="2:13" ht="15" thickBot="1" x14ac:dyDescent="0.35">
      <c r="B15" s="3" t="s">
        <v>11</v>
      </c>
      <c r="C15" s="42" t="s">
        <v>8</v>
      </c>
      <c r="D15" s="42"/>
      <c r="E15" s="35">
        <v>0</v>
      </c>
      <c r="G15" s="36"/>
      <c r="H15" s="36"/>
      <c r="J15" s="26"/>
      <c r="K15" s="26"/>
      <c r="L15" s="128"/>
      <c r="M15" s="128"/>
    </row>
    <row r="16" spans="2:13" ht="15" thickBot="1" x14ac:dyDescent="0.35">
      <c r="B16" s="3" t="s">
        <v>12</v>
      </c>
      <c r="C16" s="42" t="s">
        <v>8</v>
      </c>
      <c r="D16" s="42"/>
      <c r="E16" s="35">
        <v>0</v>
      </c>
      <c r="G16" s="36"/>
      <c r="H16" s="36"/>
      <c r="J16" s="27"/>
      <c r="K16" s="27"/>
      <c r="L16" s="129"/>
      <c r="M16" s="129"/>
    </row>
    <row r="17" spans="2:13" ht="16.2" thickBot="1" x14ac:dyDescent="0.35">
      <c r="B17" s="3" t="s">
        <v>13</v>
      </c>
      <c r="C17" s="42" t="s">
        <v>8</v>
      </c>
      <c r="D17" s="42"/>
      <c r="E17" s="35">
        <v>0</v>
      </c>
      <c r="G17" s="36"/>
      <c r="H17" s="36"/>
      <c r="J17" s="55"/>
      <c r="K17" s="55"/>
      <c r="L17" s="121"/>
      <c r="M17" s="122"/>
    </row>
    <row r="18" spans="2:13" ht="16.2" thickBot="1" x14ac:dyDescent="0.35">
      <c r="B18" s="3" t="s">
        <v>14</v>
      </c>
      <c r="C18" s="42" t="s">
        <v>8</v>
      </c>
      <c r="D18" s="42"/>
      <c r="E18" s="35">
        <v>0</v>
      </c>
      <c r="G18" s="36"/>
      <c r="H18" s="36"/>
      <c r="J18" s="55"/>
      <c r="K18" s="55"/>
      <c r="L18" s="121"/>
      <c r="M18" s="122"/>
    </row>
    <row r="19" spans="2:13" ht="16.2" thickBot="1" x14ac:dyDescent="0.35">
      <c r="B19" s="3" t="s">
        <v>7</v>
      </c>
      <c r="C19" s="42" t="s">
        <v>15</v>
      </c>
      <c r="D19" s="42"/>
      <c r="E19" s="35">
        <v>0</v>
      </c>
      <c r="G19" s="36"/>
      <c r="H19" s="36"/>
      <c r="J19" s="55"/>
      <c r="K19" s="55"/>
      <c r="L19" s="121"/>
      <c r="M19" s="122"/>
    </row>
    <row r="20" spans="2:13" ht="16.2" thickBot="1" x14ac:dyDescent="0.35">
      <c r="B20" s="3" t="s">
        <v>9</v>
      </c>
      <c r="C20" s="42" t="s">
        <v>15</v>
      </c>
      <c r="D20" s="42"/>
      <c r="E20" s="35">
        <v>0</v>
      </c>
      <c r="G20" s="36"/>
      <c r="H20" s="36"/>
      <c r="J20" s="55"/>
      <c r="K20" s="55"/>
      <c r="L20" s="121"/>
      <c r="M20" s="122"/>
    </row>
    <row r="21" spans="2:13" ht="15" thickBot="1" x14ac:dyDescent="0.35">
      <c r="B21" s="3" t="s">
        <v>10</v>
      </c>
      <c r="C21" s="42" t="s">
        <v>15</v>
      </c>
      <c r="D21" s="42"/>
      <c r="E21" s="35">
        <v>0</v>
      </c>
      <c r="G21" s="36"/>
      <c r="H21" s="36"/>
    </row>
    <row r="22" spans="2:13" ht="15" thickBot="1" x14ac:dyDescent="0.35">
      <c r="B22" s="3" t="s">
        <v>11</v>
      </c>
      <c r="C22" s="42" t="s">
        <v>15</v>
      </c>
      <c r="D22" s="42"/>
      <c r="E22" s="35">
        <v>0</v>
      </c>
      <c r="G22" s="36"/>
      <c r="H22" s="36"/>
    </row>
    <row r="23" spans="2:13" ht="15" thickBot="1" x14ac:dyDescent="0.35">
      <c r="B23" s="3" t="s">
        <v>12</v>
      </c>
      <c r="C23" s="42" t="s">
        <v>15</v>
      </c>
      <c r="D23" s="42"/>
      <c r="E23" s="35">
        <v>0</v>
      </c>
      <c r="G23" s="36"/>
      <c r="H23" s="36"/>
    </row>
    <row r="24" spans="2:13" ht="15" thickBot="1" x14ac:dyDescent="0.35">
      <c r="B24" s="3" t="s">
        <v>13</v>
      </c>
      <c r="C24" s="42" t="s">
        <v>15</v>
      </c>
      <c r="D24" s="42"/>
      <c r="E24" s="35">
        <v>0</v>
      </c>
      <c r="G24" s="36"/>
      <c r="H24" s="36"/>
    </row>
    <row r="25" spans="2:13" ht="15" thickBot="1" x14ac:dyDescent="0.35">
      <c r="B25" s="3" t="s">
        <v>14</v>
      </c>
      <c r="C25" s="42" t="s">
        <v>15</v>
      </c>
      <c r="D25" s="42"/>
      <c r="E25" s="35">
        <v>0</v>
      </c>
      <c r="G25" s="36"/>
      <c r="H25" s="36"/>
    </row>
    <row r="26" spans="2:13" ht="15" thickBot="1" x14ac:dyDescent="0.35">
      <c r="B26" s="3" t="s">
        <v>7</v>
      </c>
      <c r="C26" s="42" t="s">
        <v>16</v>
      </c>
      <c r="D26" s="42"/>
      <c r="E26" s="35">
        <v>0</v>
      </c>
      <c r="G26" s="36"/>
      <c r="H26" s="36"/>
    </row>
    <row r="27" spans="2:13" ht="15" thickBot="1" x14ac:dyDescent="0.35">
      <c r="B27" s="3" t="s">
        <v>9</v>
      </c>
      <c r="C27" s="42" t="s">
        <v>16</v>
      </c>
      <c r="D27" s="42"/>
      <c r="E27" s="35">
        <v>0</v>
      </c>
      <c r="G27" s="36"/>
      <c r="H27" s="36"/>
    </row>
    <row r="28" spans="2:13" ht="15" thickBot="1" x14ac:dyDescent="0.35">
      <c r="B28" s="3" t="s">
        <v>10</v>
      </c>
      <c r="C28" s="42" t="s">
        <v>16</v>
      </c>
      <c r="D28" s="42"/>
      <c r="E28" s="35">
        <v>0</v>
      </c>
      <c r="G28" s="36"/>
      <c r="H28" s="36"/>
    </row>
    <row r="29" spans="2:13" ht="15" thickBot="1" x14ac:dyDescent="0.35">
      <c r="B29" s="3" t="s">
        <v>11</v>
      </c>
      <c r="C29" s="42" t="s">
        <v>16</v>
      </c>
      <c r="D29" s="42"/>
      <c r="E29" s="35">
        <v>0</v>
      </c>
      <c r="G29" s="36"/>
      <c r="H29" s="36"/>
    </row>
    <row r="30" spans="2:13" ht="15" thickBot="1" x14ac:dyDescent="0.35">
      <c r="B30" s="3" t="s">
        <v>12</v>
      </c>
      <c r="C30" s="42" t="s">
        <v>16</v>
      </c>
      <c r="D30" s="42"/>
      <c r="E30" s="35">
        <v>0</v>
      </c>
      <c r="G30" s="36"/>
      <c r="H30" s="36"/>
    </row>
    <row r="31" spans="2:13" ht="15" thickBot="1" x14ac:dyDescent="0.35">
      <c r="B31" s="3" t="s">
        <v>13</v>
      </c>
      <c r="C31" s="42" t="s">
        <v>16</v>
      </c>
      <c r="D31" s="42"/>
      <c r="E31" s="35">
        <v>0</v>
      </c>
      <c r="G31" s="36"/>
      <c r="H31" s="36"/>
    </row>
    <row r="32" spans="2:13" ht="15" thickBot="1" x14ac:dyDescent="0.35">
      <c r="B32" s="3" t="s">
        <v>14</v>
      </c>
      <c r="C32" s="42" t="s">
        <v>16</v>
      </c>
      <c r="D32" s="42"/>
      <c r="E32" s="35">
        <v>0</v>
      </c>
      <c r="G32" s="36"/>
      <c r="H32" s="36"/>
    </row>
    <row r="33" spans="2:8" ht="15" thickBot="1" x14ac:dyDescent="0.35">
      <c r="B33" s="4" t="s">
        <v>17</v>
      </c>
      <c r="C33" s="42" t="s">
        <v>18</v>
      </c>
      <c r="D33" s="42"/>
      <c r="E33" s="35">
        <v>0</v>
      </c>
      <c r="G33" s="36"/>
      <c r="H33" s="36"/>
    </row>
    <row r="34" spans="2:8" ht="15" thickBot="1" x14ac:dyDescent="0.35">
      <c r="B34" s="4" t="s">
        <v>19</v>
      </c>
      <c r="C34" s="42" t="s">
        <v>18</v>
      </c>
      <c r="D34" s="42"/>
      <c r="E34" s="35">
        <v>0</v>
      </c>
      <c r="G34" s="36"/>
      <c r="H34" s="36"/>
    </row>
    <row r="35" spans="2:8" ht="15" thickBot="1" x14ac:dyDescent="0.35">
      <c r="B35" s="4" t="s">
        <v>20</v>
      </c>
      <c r="C35" s="42" t="s">
        <v>18</v>
      </c>
      <c r="D35" s="42"/>
      <c r="E35" s="35">
        <v>0</v>
      </c>
      <c r="G35" s="36"/>
      <c r="H35" s="36"/>
    </row>
    <row r="36" spans="2:8" ht="15" thickBot="1" x14ac:dyDescent="0.35">
      <c r="B36" s="4" t="s">
        <v>17</v>
      </c>
      <c r="C36" s="42" t="s">
        <v>21</v>
      </c>
      <c r="D36" s="42"/>
      <c r="E36" s="35">
        <v>0</v>
      </c>
      <c r="G36" s="36"/>
      <c r="H36" s="36"/>
    </row>
    <row r="37" spans="2:8" ht="15" thickBot="1" x14ac:dyDescent="0.35">
      <c r="B37" s="4" t="s">
        <v>19</v>
      </c>
      <c r="C37" s="42" t="s">
        <v>21</v>
      </c>
      <c r="D37" s="42"/>
      <c r="E37" s="35">
        <v>0</v>
      </c>
      <c r="G37" s="36"/>
      <c r="H37" s="36"/>
    </row>
    <row r="38" spans="2:8" ht="15" thickBot="1" x14ac:dyDescent="0.35">
      <c r="B38" s="4" t="s">
        <v>20</v>
      </c>
      <c r="C38" s="42" t="s">
        <v>21</v>
      </c>
      <c r="D38" s="42"/>
      <c r="E38" s="35">
        <v>0</v>
      </c>
      <c r="G38" s="36"/>
      <c r="H38" s="36"/>
    </row>
    <row r="39" spans="2:8" ht="15" thickBot="1" x14ac:dyDescent="0.35">
      <c r="B39" s="4" t="s">
        <v>17</v>
      </c>
      <c r="C39" s="42" t="s">
        <v>22</v>
      </c>
      <c r="D39" s="42"/>
      <c r="E39" s="35">
        <v>0</v>
      </c>
      <c r="G39" s="36"/>
      <c r="H39" s="36"/>
    </row>
    <row r="40" spans="2:8" ht="15" thickBot="1" x14ac:dyDescent="0.35">
      <c r="B40" s="4" t="s">
        <v>19</v>
      </c>
      <c r="C40" s="42" t="s">
        <v>22</v>
      </c>
      <c r="D40" s="42"/>
      <c r="E40" s="35">
        <v>0</v>
      </c>
      <c r="G40" s="36"/>
      <c r="H40" s="36"/>
    </row>
    <row r="41" spans="2:8" ht="15" thickBot="1" x14ac:dyDescent="0.35">
      <c r="B41" s="4" t="s">
        <v>20</v>
      </c>
      <c r="C41" s="42" t="s">
        <v>22</v>
      </c>
      <c r="D41" s="42"/>
      <c r="E41" s="35">
        <v>0</v>
      </c>
      <c r="G41" s="36"/>
      <c r="H41" s="36"/>
    </row>
    <row r="42" spans="2:8" ht="15" thickBot="1" x14ac:dyDescent="0.35">
      <c r="B42" s="24" t="s">
        <v>23</v>
      </c>
      <c r="C42" s="42" t="s">
        <v>24</v>
      </c>
      <c r="D42" s="42"/>
      <c r="E42" s="35">
        <v>0</v>
      </c>
      <c r="G42" s="36"/>
      <c r="H42" s="36"/>
    </row>
    <row r="43" spans="2:8" ht="15" thickBot="1" x14ac:dyDescent="0.35">
      <c r="B43" s="24" t="s">
        <v>25</v>
      </c>
      <c r="C43" s="42" t="s">
        <v>24</v>
      </c>
      <c r="D43" s="42"/>
      <c r="E43" s="35">
        <v>0</v>
      </c>
      <c r="G43" s="36"/>
      <c r="H43" s="36"/>
    </row>
    <row r="44" spans="2:8" ht="15" thickBot="1" x14ac:dyDescent="0.35">
      <c r="B44" s="24" t="s">
        <v>26</v>
      </c>
      <c r="C44" s="42" t="s">
        <v>27</v>
      </c>
      <c r="D44" s="42"/>
      <c r="E44" s="35">
        <v>0</v>
      </c>
      <c r="G44" s="36"/>
      <c r="H44" s="36"/>
    </row>
    <row r="45" spans="2:8" ht="15" thickBot="1" x14ac:dyDescent="0.35">
      <c r="B45" s="24" t="s">
        <v>28</v>
      </c>
      <c r="C45" s="42" t="s">
        <v>27</v>
      </c>
      <c r="D45" s="42"/>
      <c r="E45" s="35">
        <v>0</v>
      </c>
      <c r="G45" s="36"/>
      <c r="H45" s="36"/>
    </row>
    <row r="46" spans="2:8" ht="15" thickBot="1" x14ac:dyDescent="0.35">
      <c r="B46" s="24" t="s">
        <v>29</v>
      </c>
      <c r="C46" s="42" t="s">
        <v>29</v>
      </c>
      <c r="D46" s="42"/>
      <c r="E46" s="35">
        <v>0</v>
      </c>
      <c r="G46" s="36"/>
      <c r="H46" s="36"/>
    </row>
    <row r="47" spans="2:8" ht="15" thickBot="1" x14ac:dyDescent="0.35">
      <c r="B47" s="24" t="s">
        <v>30</v>
      </c>
      <c r="C47" s="42" t="s">
        <v>30</v>
      </c>
      <c r="D47" s="42"/>
      <c r="E47" s="35">
        <v>0</v>
      </c>
      <c r="G47" s="36"/>
      <c r="H47" s="36"/>
    </row>
    <row r="48" spans="2:8" ht="15" thickBot="1" x14ac:dyDescent="0.35">
      <c r="B48" s="24" t="s">
        <v>31</v>
      </c>
      <c r="C48" s="42" t="s">
        <v>31</v>
      </c>
      <c r="D48" s="42"/>
      <c r="E48" s="35">
        <v>0</v>
      </c>
      <c r="G48" s="36"/>
      <c r="H48" s="36"/>
    </row>
    <row r="49" spans="2:8" ht="15" thickBot="1" x14ac:dyDescent="0.35">
      <c r="B49" s="24" t="s">
        <v>32</v>
      </c>
      <c r="C49" s="42" t="s">
        <v>32</v>
      </c>
      <c r="D49" s="42"/>
      <c r="E49" s="35">
        <v>0</v>
      </c>
      <c r="G49" s="36"/>
      <c r="H49" s="36"/>
    </row>
    <row r="50" spans="2:8" ht="15" thickBot="1" x14ac:dyDescent="0.35">
      <c r="B50" s="51"/>
      <c r="C50" s="52"/>
      <c r="D50" s="52"/>
      <c r="E50" s="53"/>
      <c r="G50" s="54"/>
      <c r="H50" s="54"/>
    </row>
  </sheetData>
  <mergeCells count="13">
    <mergeCell ref="B2:C2"/>
    <mergeCell ref="L19:M19"/>
    <mergeCell ref="L20:M20"/>
    <mergeCell ref="B10:D10"/>
    <mergeCell ref="L14:M14"/>
    <mergeCell ref="L15:M15"/>
    <mergeCell ref="L16:M16"/>
    <mergeCell ref="L17:M17"/>
    <mergeCell ref="L18:M18"/>
    <mergeCell ref="E10:E11"/>
    <mergeCell ref="G10:G11"/>
    <mergeCell ref="H10:H11"/>
    <mergeCell ref="J13:M13"/>
  </mergeCells>
  <dataValidations count="2">
    <dataValidation type="list" allowBlank="1" showInputMessage="1" showErrorMessage="1" sqref="E9" xr:uid="{E0F9B496-010D-4108-A108-45E2927F2310}">
      <formula1>"Début d'activité,Fin d'activité"</formula1>
    </dataValidation>
    <dataValidation type="list" allowBlank="1" showInputMessage="1" showErrorMessage="1" sqref="E7" xr:uid="{0FCBCE3F-72C8-4143-B372-0782105F1C7C}">
      <formula1>"OLA Energy"</formula1>
    </dataValidation>
  </dataValidations>
  <pageMargins left="0.7" right="0.7" top="0.75" bottom="0.75" header="0.3" footer="0.3"/>
  <pageSetup paperSize="9" scale="81" orientation="portrait" horizontalDpi="200" verticalDpi="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FD3966-3560-4B5F-A7F9-0F1ECFDA190A}">
          <x14:formula1>
            <xm:f>Data!$M$2:$M$16</xm:f>
          </x14:formula1>
          <xm:sqref>J17 J18 J19 J15 J16 J20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1F867-2E89-4413-BDF2-8A27571095DB}">
  <sheetPr codeName="Feuil4"/>
  <dimension ref="A1:I51"/>
  <sheetViews>
    <sheetView showGridLines="0" topLeftCell="A17" zoomScale="70" zoomScaleNormal="70" workbookViewId="0">
      <selection activeCell="D12" sqref="D12"/>
    </sheetView>
  </sheetViews>
  <sheetFormatPr baseColWidth="10" defaultColWidth="11.5546875" defaultRowHeight="14.4" x14ac:dyDescent="0.3"/>
  <cols>
    <col min="1" max="1" width="36.6640625" customWidth="1"/>
    <col min="2" max="2" width="41" customWidth="1"/>
    <col min="3" max="3" width="21.5546875" customWidth="1"/>
    <col min="4" max="4" width="48.77734375" customWidth="1"/>
    <col min="5" max="5" width="42.44140625" customWidth="1"/>
    <col min="6" max="6" width="18.21875" customWidth="1"/>
    <col min="7" max="7" width="21.5546875" customWidth="1"/>
    <col min="8" max="8" width="22.109375" customWidth="1"/>
    <col min="9" max="9" width="15.5546875" customWidth="1"/>
  </cols>
  <sheetData>
    <row r="1" spans="1:9" ht="28.2" x14ac:dyDescent="0.3">
      <c r="A1" s="147"/>
      <c r="B1" s="147"/>
      <c r="C1" s="6"/>
      <c r="D1" s="7"/>
      <c r="E1" s="7"/>
      <c r="F1" s="7"/>
      <c r="G1" s="8"/>
      <c r="H1" s="8"/>
      <c r="I1" s="18"/>
    </row>
    <row r="2" spans="1:9" ht="15.6" x14ac:dyDescent="0.3">
      <c r="A2" s="9"/>
      <c r="B2" s="9"/>
      <c r="C2" s="9"/>
      <c r="D2" s="9"/>
      <c r="E2" s="9"/>
      <c r="F2" s="9"/>
      <c r="G2" s="9"/>
      <c r="H2" s="9"/>
      <c r="I2" s="9"/>
    </row>
    <row r="3" spans="1:9" ht="15.6" x14ac:dyDescent="0.3">
      <c r="A3" s="9"/>
      <c r="B3" s="9"/>
      <c r="C3" s="9"/>
      <c r="D3" s="9"/>
      <c r="E3" s="9"/>
      <c r="F3" s="9"/>
      <c r="G3" s="9"/>
      <c r="H3" s="9"/>
      <c r="I3" s="9"/>
    </row>
    <row r="4" spans="1:9" ht="15.6" x14ac:dyDescent="0.3">
      <c r="A4" s="9"/>
      <c r="B4" s="9"/>
      <c r="C4" s="9"/>
      <c r="D4" s="9"/>
      <c r="E4" s="9"/>
      <c r="F4" s="9"/>
      <c r="G4" s="9"/>
      <c r="H4" s="9"/>
      <c r="I4" s="9"/>
    </row>
    <row r="5" spans="1:9" ht="15.6" x14ac:dyDescent="0.3">
      <c r="A5" s="9"/>
      <c r="B5" s="9"/>
      <c r="C5" s="9"/>
      <c r="D5" s="9"/>
      <c r="E5" s="9"/>
      <c r="F5" s="9"/>
      <c r="G5" s="9"/>
      <c r="H5" s="9"/>
      <c r="I5" s="9"/>
    </row>
    <row r="6" spans="1:9" ht="16.2" thickBot="1" x14ac:dyDescent="0.35">
      <c r="A6" s="9"/>
      <c r="B6" s="9"/>
      <c r="C6" s="9"/>
      <c r="D6" s="9"/>
      <c r="E6" s="9"/>
      <c r="F6" s="9"/>
      <c r="G6" s="9"/>
      <c r="H6" s="9"/>
      <c r="I6" s="9"/>
    </row>
    <row r="7" spans="1:9" ht="16.2" thickBot="1" x14ac:dyDescent="0.35">
      <c r="A7" s="21" t="s">
        <v>0</v>
      </c>
      <c r="B7" s="98">
        <v>45504</v>
      </c>
      <c r="C7" s="9"/>
      <c r="D7" s="20" t="s">
        <v>1</v>
      </c>
      <c r="E7" s="98">
        <v>45511</v>
      </c>
      <c r="F7" s="9"/>
      <c r="G7" s="9"/>
      <c r="H7" s="9"/>
      <c r="I7" s="9"/>
    </row>
    <row r="8" spans="1:9" ht="33.6" customHeight="1" thickBot="1" x14ac:dyDescent="0.35">
      <c r="A8" s="22" t="s">
        <v>3</v>
      </c>
      <c r="B8" s="99" t="s">
        <v>332</v>
      </c>
      <c r="C8" s="9"/>
      <c r="D8" s="20" t="s">
        <v>2</v>
      </c>
      <c r="E8" s="97" t="s">
        <v>112</v>
      </c>
      <c r="F8" s="9"/>
      <c r="G8" s="9"/>
      <c r="H8" s="9"/>
      <c r="I8" s="9"/>
    </row>
    <row r="9" spans="1:9" x14ac:dyDescent="0.3">
      <c r="A9" s="140" t="s">
        <v>4</v>
      </c>
      <c r="B9" s="140"/>
      <c r="C9" s="140"/>
      <c r="D9" s="141" t="s">
        <v>33</v>
      </c>
      <c r="E9" s="144" t="s">
        <v>34</v>
      </c>
      <c r="F9" s="132" t="s">
        <v>35</v>
      </c>
      <c r="G9" s="132" t="s">
        <v>36</v>
      </c>
      <c r="H9" s="132" t="s">
        <v>37</v>
      </c>
      <c r="I9" s="132" t="s">
        <v>38</v>
      </c>
    </row>
    <row r="10" spans="1:9" ht="30.6" customHeight="1" x14ac:dyDescent="0.3">
      <c r="A10" s="140"/>
      <c r="B10" s="140"/>
      <c r="C10" s="140"/>
      <c r="D10" s="142"/>
      <c r="E10" s="145"/>
      <c r="F10" s="135"/>
      <c r="G10" s="135"/>
      <c r="H10" s="135"/>
      <c r="I10" s="135"/>
    </row>
    <row r="11" spans="1:9" ht="15" thickBot="1" x14ac:dyDescent="0.35">
      <c r="A11" s="23" t="s">
        <v>5</v>
      </c>
      <c r="B11" s="138" t="s">
        <v>6</v>
      </c>
      <c r="C11" s="139"/>
      <c r="D11" s="143"/>
      <c r="E11" s="146"/>
      <c r="F11" s="133"/>
      <c r="G11" s="133"/>
      <c r="H11" s="133"/>
      <c r="I11" s="133"/>
    </row>
    <row r="12" spans="1:9" ht="15" thickBot="1" x14ac:dyDescent="0.35">
      <c r="A12" s="3" t="s">
        <v>7</v>
      </c>
      <c r="B12" s="136" t="s">
        <v>8</v>
      </c>
      <c r="C12" s="137"/>
      <c r="D12" s="2">
        <f>SUMIFS('Inventory Log'!F:F,'Inventory Log'!A:A,Inventory!$B$7,'Inventory Log'!D:D,Inventory!$A12,'Inventory Log'!E:E,Inventory!$B12,'Inventory Log'!C:C,"Début d'activité")</f>
        <v>0</v>
      </c>
      <c r="E12" s="2">
        <f>SUMIFS('Mouvement Log'!J:J,'Mouvement Log'!H:H,Inventory!$A12,'Mouvement Log'!I:I,Inventory!$B12,'Mouvement Log'!F:F,Inventory!$E$8,'Mouvement Log'!A:A,"&gt;=" &amp; Inventory!$B$7,'Mouvement Log'!A:A,"&lt;=" &amp; Inventory!$E$7)</f>
        <v>0</v>
      </c>
      <c r="F12" s="2">
        <f>SUMIFS('Mouvement Log'!J:J,'Mouvement Log'!H:H,Inventory!$A12,'Mouvement Log'!I:I,Inventory!$B12,'Mouvement Log'!E:E,Inventory!$E$8,'Mouvement Log'!A:A,"&gt;=" &amp; Inventory!$B$7,'Mouvement Log'!A:A,"&lt;=" &amp; Inventory!$E$7)</f>
        <v>0</v>
      </c>
      <c r="G12" s="2">
        <f>SUMIFS('Inventory Log'!F:F,'Inventory Log'!A:A,Inventory!$E$7,'Inventory Log'!D:D,Inventory!$A12,'Inventory Log'!E:E,Inventory!$B12,'Inventory Log'!C:C,"Fin d'activité")</f>
        <v>22</v>
      </c>
      <c r="H12" s="2">
        <f>SUM(D12,E12,-F12)</f>
        <v>0</v>
      </c>
      <c r="I12" s="2">
        <f>H12-G12</f>
        <v>-22</v>
      </c>
    </row>
    <row r="13" spans="1:9" ht="15" thickBot="1" x14ac:dyDescent="0.35">
      <c r="A13" s="3" t="s">
        <v>9</v>
      </c>
      <c r="B13" s="136" t="s">
        <v>8</v>
      </c>
      <c r="C13" s="137"/>
      <c r="D13" s="2">
        <f>SUMIFS('Inventory Log'!F:F,'Inventory Log'!A:A,Inventory!$B$7,'Inventory Log'!D:D,Inventory!$A13,'Inventory Log'!E:E,Inventory!$B13,'Inventory Log'!C:C,"Début d'activité")</f>
        <v>0</v>
      </c>
      <c r="E13" s="2">
        <f>SUMIFS('Mouvement Log'!J:J,'Mouvement Log'!H:H,Inventory!$A13,'Mouvement Log'!I:I,Inventory!$B13,'Mouvement Log'!F:F,Inventory!$E$8,'Mouvement Log'!A:A,"&gt;=" &amp; Inventory!$B$7,'Mouvement Log'!A:A,"&lt;=" &amp; Inventory!$E$7)</f>
        <v>0</v>
      </c>
      <c r="F13" s="2">
        <f>SUMIFS('Mouvement Log'!J:J,'Mouvement Log'!H:H,Inventory!$A13,'Mouvement Log'!I:I,Inventory!$B13,'Mouvement Log'!E:E,Inventory!$E$8,'Mouvement Log'!A:A,"&gt;=" &amp; Inventory!$B$7,'Mouvement Log'!A:A,"&lt;=" &amp; Inventory!$E$7)</f>
        <v>0</v>
      </c>
      <c r="G13" s="2">
        <f>SUMIFS('Inventory Log'!F:F,'Inventory Log'!A:A,Inventory!$E$7,'Inventory Log'!D:D,Inventory!$A13,'Inventory Log'!E:E,Inventory!$B13,'Inventory Log'!C:C,"Fin d'activité")</f>
        <v>0</v>
      </c>
      <c r="H13" s="2">
        <f t="shared" ref="H13:H49" si="0">SUM(D13,E13,-F13)</f>
        <v>0</v>
      </c>
      <c r="I13" s="2">
        <f t="shared" ref="I13:I49" si="1">H13-G13</f>
        <v>0</v>
      </c>
    </row>
    <row r="14" spans="1:9" ht="15" thickBot="1" x14ac:dyDescent="0.35">
      <c r="A14" s="3" t="s">
        <v>10</v>
      </c>
      <c r="B14" s="136" t="s">
        <v>8</v>
      </c>
      <c r="C14" s="137"/>
      <c r="D14" s="2">
        <f>SUMIFS('Inventory Log'!F:F,'Inventory Log'!A:A,Inventory!$B$7,'Inventory Log'!D:D,Inventory!$A14,'Inventory Log'!E:E,Inventory!$B14,'Inventory Log'!C:C,"Début d'activité")</f>
        <v>0</v>
      </c>
      <c r="E14" s="2">
        <f>SUMIFS('Mouvement Log'!J:J,'Mouvement Log'!H:H,Inventory!$A14,'Mouvement Log'!I:I,Inventory!$B14,'Mouvement Log'!F:F,Inventory!$E$8,'Mouvement Log'!A:A,"&gt;=" &amp; Inventory!$B$7,'Mouvement Log'!A:A,"&lt;=" &amp; Inventory!$E$7)</f>
        <v>0</v>
      </c>
      <c r="F14" s="2">
        <f>SUMIFS('Mouvement Log'!J:J,'Mouvement Log'!H:H,Inventory!$A14,'Mouvement Log'!I:I,Inventory!$B14,'Mouvement Log'!E:E,Inventory!$E$8,'Mouvement Log'!A:A,"&gt;=" &amp; Inventory!$B$7,'Mouvement Log'!A:A,"&lt;=" &amp; Inventory!$E$7)</f>
        <v>0</v>
      </c>
      <c r="G14" s="2">
        <f>SUMIFS('Inventory Log'!F:F,'Inventory Log'!A:A,Inventory!$E$7,'Inventory Log'!D:D,Inventory!$A14,'Inventory Log'!E:E,Inventory!$B14,'Inventory Log'!C:C,"Fin d'activité")</f>
        <v>0</v>
      </c>
      <c r="H14" s="2">
        <f t="shared" si="0"/>
        <v>0</v>
      </c>
      <c r="I14" s="2">
        <f t="shared" si="1"/>
        <v>0</v>
      </c>
    </row>
    <row r="15" spans="1:9" ht="15" thickBot="1" x14ac:dyDescent="0.35">
      <c r="A15" s="3" t="s">
        <v>11</v>
      </c>
      <c r="B15" s="136" t="s">
        <v>8</v>
      </c>
      <c r="C15" s="137"/>
      <c r="D15" s="2">
        <f>SUMIFS('Inventory Log'!F:F,'Inventory Log'!A:A,Inventory!$B$7,'Inventory Log'!D:D,Inventory!$A15,'Inventory Log'!E:E,Inventory!$B15,'Inventory Log'!C:C,"Début d'activité")</f>
        <v>0</v>
      </c>
      <c r="E15" s="2">
        <f>SUMIFS('Mouvement Log'!J:J,'Mouvement Log'!H:H,Inventory!$A15,'Mouvement Log'!I:I,Inventory!$B15,'Mouvement Log'!F:F,Inventory!$E$8,'Mouvement Log'!A:A,"&gt;=" &amp; Inventory!$B$7,'Mouvement Log'!A:A,"&lt;=" &amp; Inventory!$E$7)</f>
        <v>0</v>
      </c>
      <c r="F15" s="2">
        <f>SUMIFS('Mouvement Log'!J:J,'Mouvement Log'!H:H,Inventory!$A15,'Mouvement Log'!I:I,Inventory!$B15,'Mouvement Log'!E:E,Inventory!$E$8,'Mouvement Log'!A:A,"&gt;=" &amp; Inventory!$B$7,'Mouvement Log'!A:A,"&lt;=" &amp; Inventory!$E$7)</f>
        <v>0</v>
      </c>
      <c r="G15" s="2">
        <f>SUMIFS('Inventory Log'!F:F,'Inventory Log'!A:A,Inventory!$E$7,'Inventory Log'!D:D,Inventory!$A15,'Inventory Log'!E:E,Inventory!$B15,'Inventory Log'!C:C,"Fin d'activité")</f>
        <v>0</v>
      </c>
      <c r="H15" s="2">
        <f t="shared" si="0"/>
        <v>0</v>
      </c>
      <c r="I15" s="2">
        <f t="shared" si="1"/>
        <v>0</v>
      </c>
    </row>
    <row r="16" spans="1:9" ht="15" thickBot="1" x14ac:dyDescent="0.35">
      <c r="A16" s="3" t="s">
        <v>12</v>
      </c>
      <c r="B16" s="136" t="s">
        <v>8</v>
      </c>
      <c r="C16" s="137"/>
      <c r="D16" s="2">
        <f>SUMIFS('Inventory Log'!F:F,'Inventory Log'!A:A,Inventory!$B$7,'Inventory Log'!D:D,Inventory!$A16,'Inventory Log'!E:E,Inventory!$B16,'Inventory Log'!C:C,"Début d'activité")</f>
        <v>0</v>
      </c>
      <c r="E16" s="2">
        <f>SUMIFS('Mouvement Log'!J:J,'Mouvement Log'!H:H,Inventory!$A16,'Mouvement Log'!I:I,Inventory!$B16,'Mouvement Log'!F:F,Inventory!$E$8,'Mouvement Log'!A:A,"&gt;=" &amp; Inventory!$B$7,'Mouvement Log'!A:A,"&lt;=" &amp; Inventory!$E$7)</f>
        <v>0</v>
      </c>
      <c r="F16" s="2">
        <f>SUMIFS('Mouvement Log'!J:J,'Mouvement Log'!H:H,Inventory!$A16,'Mouvement Log'!I:I,Inventory!$B16,'Mouvement Log'!E:E,Inventory!$E$8,'Mouvement Log'!A:A,"&gt;=" &amp; Inventory!$B$7,'Mouvement Log'!A:A,"&lt;=" &amp; Inventory!$E$7)</f>
        <v>0</v>
      </c>
      <c r="G16" s="2">
        <f>SUMIFS('Inventory Log'!F:F,'Inventory Log'!A:A,Inventory!$E$7,'Inventory Log'!D:D,Inventory!$A16,'Inventory Log'!E:E,Inventory!$B16,'Inventory Log'!C:C,"Fin d'activité")</f>
        <v>0</v>
      </c>
      <c r="H16" s="2">
        <f t="shared" si="0"/>
        <v>0</v>
      </c>
      <c r="I16" s="2">
        <f t="shared" si="1"/>
        <v>0</v>
      </c>
    </row>
    <row r="17" spans="1:9" ht="15" thickBot="1" x14ac:dyDescent="0.35">
      <c r="A17" s="3" t="s">
        <v>13</v>
      </c>
      <c r="B17" s="136" t="s">
        <v>8</v>
      </c>
      <c r="C17" s="137"/>
      <c r="D17" s="2">
        <f>SUMIFS('Inventory Log'!F:F,'Inventory Log'!A:A,Inventory!$B$7,'Inventory Log'!D:D,Inventory!$A17,'Inventory Log'!E:E,Inventory!$B17,'Inventory Log'!C:C,"Début d'activité")</f>
        <v>0</v>
      </c>
      <c r="E17" s="2">
        <f>SUMIFS('Mouvement Log'!J:J,'Mouvement Log'!H:H,Inventory!$A17,'Mouvement Log'!I:I,Inventory!$B17,'Mouvement Log'!F:F,Inventory!$E$8,'Mouvement Log'!A:A,"&gt;=" &amp; Inventory!$B$7,'Mouvement Log'!A:A,"&lt;=" &amp; Inventory!$E$7)</f>
        <v>0</v>
      </c>
      <c r="F17" s="2">
        <f>SUMIFS('Mouvement Log'!J:J,'Mouvement Log'!H:H,Inventory!$A17,'Mouvement Log'!I:I,Inventory!$B17,'Mouvement Log'!E:E,Inventory!$E$8,'Mouvement Log'!A:A,"&gt;=" &amp; Inventory!$B$7,'Mouvement Log'!A:A,"&lt;=" &amp; Inventory!$E$7)</f>
        <v>0</v>
      </c>
      <c r="G17" s="2">
        <f>SUMIFS('Inventory Log'!F:F,'Inventory Log'!A:A,Inventory!$E$7,'Inventory Log'!D:D,Inventory!$A17,'Inventory Log'!E:E,Inventory!$B17,'Inventory Log'!C:C,"Fin d'activité")</f>
        <v>0</v>
      </c>
      <c r="H17" s="2">
        <f t="shared" si="0"/>
        <v>0</v>
      </c>
      <c r="I17" s="2">
        <f t="shared" si="1"/>
        <v>0</v>
      </c>
    </row>
    <row r="18" spans="1:9" ht="15" thickBot="1" x14ac:dyDescent="0.35">
      <c r="A18" s="3" t="s">
        <v>14</v>
      </c>
      <c r="B18" s="136" t="s">
        <v>8</v>
      </c>
      <c r="C18" s="137"/>
      <c r="D18" s="2">
        <f>SUMIFS('Inventory Log'!F:F,'Inventory Log'!A:A,Inventory!$B$7,'Inventory Log'!D:D,Inventory!$A18,'Inventory Log'!E:E,Inventory!$B18,'Inventory Log'!C:C,"Début d'activité")</f>
        <v>0</v>
      </c>
      <c r="E18" s="2">
        <f>SUMIFS('Mouvement Log'!J:J,'Mouvement Log'!H:H,Inventory!$A18,'Mouvement Log'!I:I,Inventory!$B18,'Mouvement Log'!F:F,Inventory!$E$8,'Mouvement Log'!A:A,"&gt;=" &amp; Inventory!$B$7,'Mouvement Log'!A:A,"&lt;=" &amp; Inventory!$E$7)</f>
        <v>0</v>
      </c>
      <c r="F18" s="2">
        <f>SUMIFS('Mouvement Log'!J:J,'Mouvement Log'!H:H,Inventory!$A18,'Mouvement Log'!I:I,Inventory!$B18,'Mouvement Log'!E:E,Inventory!$E$8,'Mouvement Log'!A:A,"&gt;=" &amp; Inventory!$B$7,'Mouvement Log'!A:A,"&lt;=" &amp; Inventory!$E$7)</f>
        <v>0</v>
      </c>
      <c r="G18" s="2">
        <f>SUMIFS('Inventory Log'!F:F,'Inventory Log'!A:A,Inventory!$E$7,'Inventory Log'!D:D,Inventory!$A18,'Inventory Log'!E:E,Inventory!$B18,'Inventory Log'!C:C,"Fin d'activité")</f>
        <v>0</v>
      </c>
      <c r="H18" s="2">
        <f t="shared" si="0"/>
        <v>0</v>
      </c>
      <c r="I18" s="2">
        <f t="shared" si="1"/>
        <v>0</v>
      </c>
    </row>
    <row r="19" spans="1:9" ht="15" thickBot="1" x14ac:dyDescent="0.35">
      <c r="A19" s="3" t="s">
        <v>7</v>
      </c>
      <c r="B19" s="136" t="s">
        <v>15</v>
      </c>
      <c r="C19" s="137"/>
      <c r="D19" s="2">
        <f>SUMIFS('Inventory Log'!F:F,'Inventory Log'!A:A,Inventory!$B$7,'Inventory Log'!D:D,Inventory!$A19,'Inventory Log'!E:E,Inventory!$B19,'Inventory Log'!C:C,"Début d'activité")</f>
        <v>0</v>
      </c>
      <c r="E19" s="2">
        <f>SUMIFS('Mouvement Log'!J:J,'Mouvement Log'!H:H,Inventory!$A19,'Mouvement Log'!I:I,Inventory!$B19,'Mouvement Log'!F:F,Inventory!$E$8,'Mouvement Log'!A:A,"&gt;=" &amp; Inventory!$B$7,'Mouvement Log'!A:A,"&lt;=" &amp; Inventory!$E$7)</f>
        <v>0</v>
      </c>
      <c r="F19" s="2">
        <f>SUMIFS('Mouvement Log'!J:J,'Mouvement Log'!H:H,Inventory!$A19,'Mouvement Log'!I:I,Inventory!$B19,'Mouvement Log'!E:E,Inventory!$E$8,'Mouvement Log'!A:A,"&gt;=" &amp; Inventory!$B$7,'Mouvement Log'!A:A,"&lt;=" &amp; Inventory!$E$7)</f>
        <v>0</v>
      </c>
      <c r="G19" s="2">
        <f>SUMIFS('Inventory Log'!F:F,'Inventory Log'!A:A,Inventory!$E$7,'Inventory Log'!D:D,Inventory!$A19,'Inventory Log'!E:E,Inventory!$B19,'Inventory Log'!C:C,"Fin d'activité")</f>
        <v>0</v>
      </c>
      <c r="H19" s="2">
        <f t="shared" si="0"/>
        <v>0</v>
      </c>
      <c r="I19" s="2">
        <f t="shared" si="1"/>
        <v>0</v>
      </c>
    </row>
    <row r="20" spans="1:9" ht="15" thickBot="1" x14ac:dyDescent="0.35">
      <c r="A20" s="3" t="s">
        <v>9</v>
      </c>
      <c r="B20" s="136" t="s">
        <v>15</v>
      </c>
      <c r="C20" s="137"/>
      <c r="D20" s="2">
        <f>SUMIFS('Inventory Log'!F:F,'Inventory Log'!A:A,Inventory!$B$7,'Inventory Log'!D:D,Inventory!$A20,'Inventory Log'!E:E,Inventory!$B20,'Inventory Log'!C:C,"Début d'activité")</f>
        <v>0</v>
      </c>
      <c r="E20" s="2">
        <f>SUMIFS('Mouvement Log'!J:J,'Mouvement Log'!H:H,Inventory!$A20,'Mouvement Log'!I:I,Inventory!$B20,'Mouvement Log'!F:F,Inventory!$E$8,'Mouvement Log'!A:A,"&gt;=" &amp; Inventory!$B$7,'Mouvement Log'!A:A,"&lt;=" &amp; Inventory!$E$7)</f>
        <v>0</v>
      </c>
      <c r="F20" s="2">
        <f>SUMIFS('Mouvement Log'!J:J,'Mouvement Log'!H:H,Inventory!$A20,'Mouvement Log'!I:I,Inventory!$B20,'Mouvement Log'!E:E,Inventory!$E$8,'Mouvement Log'!A:A,"&gt;=" &amp; Inventory!$B$7,'Mouvement Log'!A:A,"&lt;=" &amp; Inventory!$E$7)</f>
        <v>0</v>
      </c>
      <c r="G20" s="2">
        <f>SUMIFS('Inventory Log'!F:F,'Inventory Log'!A:A,Inventory!$E$7,'Inventory Log'!D:D,Inventory!$A20,'Inventory Log'!E:E,Inventory!$B20,'Inventory Log'!C:C,"Fin d'activité")</f>
        <v>0</v>
      </c>
      <c r="H20" s="2">
        <f t="shared" si="0"/>
        <v>0</v>
      </c>
      <c r="I20" s="2">
        <f t="shared" si="1"/>
        <v>0</v>
      </c>
    </row>
    <row r="21" spans="1:9" ht="15" thickBot="1" x14ac:dyDescent="0.35">
      <c r="A21" s="3" t="s">
        <v>10</v>
      </c>
      <c r="B21" s="136" t="s">
        <v>15</v>
      </c>
      <c r="C21" s="137"/>
      <c r="D21" s="2">
        <f>SUMIFS('Inventory Log'!F:F,'Inventory Log'!A:A,Inventory!$B$7,'Inventory Log'!D:D,Inventory!$A21,'Inventory Log'!E:E,Inventory!$B21,'Inventory Log'!C:C,"Début d'activité")</f>
        <v>0</v>
      </c>
      <c r="E21" s="2">
        <f>SUMIFS('Mouvement Log'!J:J,'Mouvement Log'!H:H,Inventory!$A21,'Mouvement Log'!I:I,Inventory!$B21,'Mouvement Log'!F:F,Inventory!$E$8,'Mouvement Log'!A:A,"&gt;=" &amp; Inventory!$B$7,'Mouvement Log'!A:A,"&lt;=" &amp; Inventory!$E$7)</f>
        <v>0</v>
      </c>
      <c r="F21" s="2">
        <f>SUMIFS('Mouvement Log'!J:J,'Mouvement Log'!H:H,Inventory!$A21,'Mouvement Log'!I:I,Inventory!$B21,'Mouvement Log'!E:E,Inventory!$E$8,'Mouvement Log'!A:A,"&gt;=" &amp; Inventory!$B$7,'Mouvement Log'!A:A,"&lt;=" &amp; Inventory!$E$7)</f>
        <v>0</v>
      </c>
      <c r="G21" s="2">
        <f>SUMIFS('Inventory Log'!F:F,'Inventory Log'!A:A,Inventory!$E$7,'Inventory Log'!D:D,Inventory!$A21,'Inventory Log'!E:E,Inventory!$B21,'Inventory Log'!C:C,"Fin d'activité")</f>
        <v>0</v>
      </c>
      <c r="H21" s="2">
        <f t="shared" si="0"/>
        <v>0</v>
      </c>
      <c r="I21" s="2">
        <f t="shared" si="1"/>
        <v>0</v>
      </c>
    </row>
    <row r="22" spans="1:9" ht="15" thickBot="1" x14ac:dyDescent="0.35">
      <c r="A22" s="3" t="s">
        <v>11</v>
      </c>
      <c r="B22" s="136" t="s">
        <v>15</v>
      </c>
      <c r="C22" s="137"/>
      <c r="D22" s="2">
        <f>SUMIFS('Inventory Log'!F:F,'Inventory Log'!A:A,Inventory!$B$7,'Inventory Log'!D:D,Inventory!$A22,'Inventory Log'!E:E,Inventory!$B22,'Inventory Log'!C:C,"Début d'activité")</f>
        <v>0</v>
      </c>
      <c r="E22" s="2">
        <f>SUMIFS('Mouvement Log'!J:J,'Mouvement Log'!H:H,Inventory!$A22,'Mouvement Log'!I:I,Inventory!$B22,'Mouvement Log'!F:F,Inventory!$E$8,'Mouvement Log'!A:A,"&gt;=" &amp; Inventory!$B$7,'Mouvement Log'!A:A,"&lt;=" &amp; Inventory!$E$7)</f>
        <v>0</v>
      </c>
      <c r="F22" s="2">
        <f>SUMIFS('Mouvement Log'!J:J,'Mouvement Log'!H:H,Inventory!$A22,'Mouvement Log'!I:I,Inventory!$B22,'Mouvement Log'!E:E,Inventory!$E$8,'Mouvement Log'!A:A,"&gt;=" &amp; Inventory!$B$7,'Mouvement Log'!A:A,"&lt;=" &amp; Inventory!$E$7)</f>
        <v>0</v>
      </c>
      <c r="G22" s="2">
        <f>SUMIFS('Inventory Log'!F:F,'Inventory Log'!A:A,Inventory!$E$7,'Inventory Log'!D:D,Inventory!$A22,'Inventory Log'!E:E,Inventory!$B22,'Inventory Log'!C:C,"Fin d'activité")</f>
        <v>0</v>
      </c>
      <c r="H22" s="2">
        <f t="shared" si="0"/>
        <v>0</v>
      </c>
      <c r="I22" s="2">
        <f t="shared" si="1"/>
        <v>0</v>
      </c>
    </row>
    <row r="23" spans="1:9" ht="15" thickBot="1" x14ac:dyDescent="0.35">
      <c r="A23" s="3" t="s">
        <v>12</v>
      </c>
      <c r="B23" s="136" t="s">
        <v>15</v>
      </c>
      <c r="C23" s="137"/>
      <c r="D23" s="2">
        <f>SUMIFS('Inventory Log'!F:F,'Inventory Log'!A:A,Inventory!$B$7,'Inventory Log'!D:D,Inventory!$A23,'Inventory Log'!E:E,Inventory!$B23,'Inventory Log'!C:C,"Début d'activité")</f>
        <v>0</v>
      </c>
      <c r="E23" s="2">
        <f>SUMIFS('Mouvement Log'!J:J,'Mouvement Log'!H:H,Inventory!$A23,'Mouvement Log'!I:I,Inventory!$B23,'Mouvement Log'!F:F,Inventory!$E$8,'Mouvement Log'!A:A,"&gt;=" &amp; Inventory!$B$7,'Mouvement Log'!A:A,"&lt;=" &amp; Inventory!$E$7)</f>
        <v>0</v>
      </c>
      <c r="F23" s="2">
        <f>SUMIFS('Mouvement Log'!J:J,'Mouvement Log'!H:H,Inventory!$A23,'Mouvement Log'!I:I,Inventory!$B23,'Mouvement Log'!E:E,Inventory!$E$8,'Mouvement Log'!A:A,"&gt;=" &amp; Inventory!$B$7,'Mouvement Log'!A:A,"&lt;=" &amp; Inventory!$E$7)</f>
        <v>0</v>
      </c>
      <c r="G23" s="2">
        <f>SUMIFS('Inventory Log'!F:F,'Inventory Log'!A:A,Inventory!$E$7,'Inventory Log'!D:D,Inventory!$A23,'Inventory Log'!E:E,Inventory!$B23,'Inventory Log'!C:C,"Fin d'activité")</f>
        <v>444</v>
      </c>
      <c r="H23" s="2">
        <f t="shared" si="0"/>
        <v>0</v>
      </c>
      <c r="I23" s="2">
        <f t="shared" si="1"/>
        <v>-444</v>
      </c>
    </row>
    <row r="24" spans="1:9" ht="15" thickBot="1" x14ac:dyDescent="0.35">
      <c r="A24" s="3" t="s">
        <v>13</v>
      </c>
      <c r="B24" s="136" t="s">
        <v>15</v>
      </c>
      <c r="C24" s="137"/>
      <c r="D24" s="2">
        <f>SUMIFS('Inventory Log'!F:F,'Inventory Log'!A:A,Inventory!$B$7,'Inventory Log'!D:D,Inventory!$A24,'Inventory Log'!E:E,Inventory!$B24,'Inventory Log'!C:C,"Début d'activité")</f>
        <v>0</v>
      </c>
      <c r="E24" s="2">
        <f>SUMIFS('Mouvement Log'!J:J,'Mouvement Log'!H:H,Inventory!$A24,'Mouvement Log'!I:I,Inventory!$B24,'Mouvement Log'!F:F,Inventory!$E$8,'Mouvement Log'!A:A,"&gt;=" &amp; Inventory!$B$7,'Mouvement Log'!A:A,"&lt;=" &amp; Inventory!$E$7)</f>
        <v>0</v>
      </c>
      <c r="F24" s="2">
        <f>SUMIFS('Mouvement Log'!J:J,'Mouvement Log'!H:H,Inventory!$A24,'Mouvement Log'!I:I,Inventory!$B24,'Mouvement Log'!E:E,Inventory!$E$8,'Mouvement Log'!A:A,"&gt;=" &amp; Inventory!$B$7,'Mouvement Log'!A:A,"&lt;=" &amp; Inventory!$E$7)</f>
        <v>0</v>
      </c>
      <c r="G24" s="2">
        <f>SUMIFS('Inventory Log'!F:F,'Inventory Log'!A:A,Inventory!$E$7,'Inventory Log'!D:D,Inventory!$A24,'Inventory Log'!E:E,Inventory!$B24,'Inventory Log'!C:C,"Fin d'activité")</f>
        <v>0</v>
      </c>
      <c r="H24" s="2">
        <f t="shared" si="0"/>
        <v>0</v>
      </c>
      <c r="I24" s="2">
        <f t="shared" si="1"/>
        <v>0</v>
      </c>
    </row>
    <row r="25" spans="1:9" ht="15" thickBot="1" x14ac:dyDescent="0.35">
      <c r="A25" s="3" t="s">
        <v>14</v>
      </c>
      <c r="B25" s="136" t="s">
        <v>15</v>
      </c>
      <c r="C25" s="137"/>
      <c r="D25" s="2">
        <f>SUMIFS('Inventory Log'!F:F,'Inventory Log'!A:A,Inventory!$B$7,'Inventory Log'!D:D,Inventory!$A25,'Inventory Log'!E:E,Inventory!$B25,'Inventory Log'!C:C,"Début d'activité")</f>
        <v>0</v>
      </c>
      <c r="E25" s="2">
        <f>SUMIFS('Mouvement Log'!J:J,'Mouvement Log'!H:H,Inventory!$A25,'Mouvement Log'!I:I,Inventory!$B25,'Mouvement Log'!F:F,Inventory!$E$8,'Mouvement Log'!A:A,"&gt;=" &amp; Inventory!$B$7,'Mouvement Log'!A:A,"&lt;=" &amp; Inventory!$E$7)</f>
        <v>0</v>
      </c>
      <c r="F25" s="2">
        <f>SUMIFS('Mouvement Log'!J:J,'Mouvement Log'!H:H,Inventory!$A25,'Mouvement Log'!I:I,Inventory!$B25,'Mouvement Log'!E:E,Inventory!$E$8,'Mouvement Log'!A:A,"&gt;=" &amp; Inventory!$B$7,'Mouvement Log'!A:A,"&lt;=" &amp; Inventory!$E$7)</f>
        <v>0</v>
      </c>
      <c r="G25" s="2">
        <f>SUMIFS('Inventory Log'!F:F,'Inventory Log'!A:A,Inventory!$E$7,'Inventory Log'!D:D,Inventory!$A25,'Inventory Log'!E:E,Inventory!$B25,'Inventory Log'!C:C,"Fin d'activité")</f>
        <v>0</v>
      </c>
      <c r="H25" s="2">
        <f t="shared" si="0"/>
        <v>0</v>
      </c>
      <c r="I25" s="2">
        <f t="shared" si="1"/>
        <v>0</v>
      </c>
    </row>
    <row r="26" spans="1:9" ht="15" thickBot="1" x14ac:dyDescent="0.35">
      <c r="A26" s="3" t="s">
        <v>7</v>
      </c>
      <c r="B26" s="136" t="s">
        <v>16</v>
      </c>
      <c r="C26" s="137"/>
      <c r="D26" s="2">
        <f>SUMIFS('Inventory Log'!F:F,'Inventory Log'!A:A,Inventory!$B$7,'Inventory Log'!D:D,Inventory!$A26,'Inventory Log'!E:E,Inventory!$B26,'Inventory Log'!C:C,"Début d'activité")</f>
        <v>0</v>
      </c>
      <c r="E26" s="2">
        <f>SUMIFS('Mouvement Log'!J:J,'Mouvement Log'!H:H,Inventory!$A26,'Mouvement Log'!I:I,Inventory!$B26,'Mouvement Log'!F:F,Inventory!$E$8,'Mouvement Log'!A:A,"&gt;=" &amp; Inventory!$B$7,'Mouvement Log'!A:A,"&lt;=" &amp; Inventory!$E$7)</f>
        <v>0</v>
      </c>
      <c r="F26" s="2">
        <f>SUMIFS('Mouvement Log'!J:J,'Mouvement Log'!H:H,Inventory!$A26,'Mouvement Log'!I:I,Inventory!$B26,'Mouvement Log'!E:E,Inventory!$E$8,'Mouvement Log'!A:A,"&gt;=" &amp; Inventory!$B$7,'Mouvement Log'!A:A,"&lt;=" &amp; Inventory!$E$7)</f>
        <v>0</v>
      </c>
      <c r="G26" s="2">
        <f>SUMIFS('Inventory Log'!F:F,'Inventory Log'!A:A,Inventory!$E$7,'Inventory Log'!D:D,Inventory!$A26,'Inventory Log'!E:E,Inventory!$B26,'Inventory Log'!C:C,"Fin d'activité")</f>
        <v>0</v>
      </c>
      <c r="H26" s="2">
        <f t="shared" si="0"/>
        <v>0</v>
      </c>
      <c r="I26" s="2">
        <f t="shared" si="1"/>
        <v>0</v>
      </c>
    </row>
    <row r="27" spans="1:9" ht="15" thickBot="1" x14ac:dyDescent="0.35">
      <c r="A27" s="3" t="s">
        <v>9</v>
      </c>
      <c r="B27" s="136" t="s">
        <v>16</v>
      </c>
      <c r="C27" s="137"/>
      <c r="D27" s="2">
        <f>SUMIFS('Inventory Log'!F:F,'Inventory Log'!A:A,Inventory!$B$7,'Inventory Log'!D:D,Inventory!$A27,'Inventory Log'!E:E,Inventory!$B27,'Inventory Log'!C:C,"Début d'activité")</f>
        <v>0</v>
      </c>
      <c r="E27" s="2">
        <f>SUMIFS('Mouvement Log'!J:J,'Mouvement Log'!H:H,Inventory!$A27,'Mouvement Log'!I:I,Inventory!$B27,'Mouvement Log'!F:F,Inventory!$E$8,'Mouvement Log'!A:A,"&gt;=" &amp; Inventory!$B$7,'Mouvement Log'!A:A,"&lt;=" &amp; Inventory!$E$7)</f>
        <v>0</v>
      </c>
      <c r="F27" s="2">
        <f>SUMIFS('Mouvement Log'!J:J,'Mouvement Log'!H:H,Inventory!$A27,'Mouvement Log'!I:I,Inventory!$B27,'Mouvement Log'!E:E,Inventory!$E$8,'Mouvement Log'!A:A,"&gt;=" &amp; Inventory!$B$7,'Mouvement Log'!A:A,"&lt;=" &amp; Inventory!$E$7)</f>
        <v>0</v>
      </c>
      <c r="G27" s="2">
        <f>SUMIFS('Inventory Log'!F:F,'Inventory Log'!A:A,Inventory!$E$7,'Inventory Log'!D:D,Inventory!$A27,'Inventory Log'!E:E,Inventory!$B27,'Inventory Log'!C:C,"Fin d'activité")</f>
        <v>0</v>
      </c>
      <c r="H27" s="2">
        <f t="shared" si="0"/>
        <v>0</v>
      </c>
      <c r="I27" s="2">
        <f t="shared" si="1"/>
        <v>0</v>
      </c>
    </row>
    <row r="28" spans="1:9" ht="15" thickBot="1" x14ac:dyDescent="0.35">
      <c r="A28" s="3" t="s">
        <v>10</v>
      </c>
      <c r="B28" s="136" t="s">
        <v>16</v>
      </c>
      <c r="C28" s="137"/>
      <c r="D28" s="2">
        <f>SUMIFS('Inventory Log'!F:F,'Inventory Log'!A:A,Inventory!$B$7,'Inventory Log'!D:D,Inventory!$A28,'Inventory Log'!E:E,Inventory!$B28,'Inventory Log'!C:C,"Début d'activité")</f>
        <v>0</v>
      </c>
      <c r="E28" s="2">
        <f>SUMIFS('Mouvement Log'!J:J,'Mouvement Log'!H:H,Inventory!$A28,'Mouvement Log'!I:I,Inventory!$B28,'Mouvement Log'!F:F,Inventory!$E$8,'Mouvement Log'!A:A,"&gt;=" &amp; Inventory!$B$7,'Mouvement Log'!A:A,"&lt;=" &amp; Inventory!$E$7)</f>
        <v>0</v>
      </c>
      <c r="F28" s="2">
        <f>SUMIFS('Mouvement Log'!J:J,'Mouvement Log'!H:H,Inventory!$A28,'Mouvement Log'!I:I,Inventory!$B28,'Mouvement Log'!E:E,Inventory!$E$8,'Mouvement Log'!A:A,"&gt;=" &amp; Inventory!$B$7,'Mouvement Log'!A:A,"&lt;=" &amp; Inventory!$E$7)</f>
        <v>0</v>
      </c>
      <c r="G28" s="2">
        <f>SUMIFS('Inventory Log'!F:F,'Inventory Log'!A:A,Inventory!$E$7,'Inventory Log'!D:D,Inventory!$A28,'Inventory Log'!E:E,Inventory!$B28,'Inventory Log'!C:C,"Fin d'activité")</f>
        <v>0</v>
      </c>
      <c r="H28" s="2">
        <f t="shared" si="0"/>
        <v>0</v>
      </c>
      <c r="I28" s="2">
        <f t="shared" si="1"/>
        <v>0</v>
      </c>
    </row>
    <row r="29" spans="1:9" ht="15" thickBot="1" x14ac:dyDescent="0.35">
      <c r="A29" s="3" t="s">
        <v>11</v>
      </c>
      <c r="B29" s="136" t="s">
        <v>16</v>
      </c>
      <c r="C29" s="137"/>
      <c r="D29" s="2">
        <f>SUMIFS('Inventory Log'!F:F,'Inventory Log'!A:A,Inventory!$B$7,'Inventory Log'!D:D,Inventory!$A29,'Inventory Log'!E:E,Inventory!$B29,'Inventory Log'!C:C,"Début d'activité")</f>
        <v>0</v>
      </c>
      <c r="E29" s="2">
        <f>SUMIFS('Mouvement Log'!J:J,'Mouvement Log'!H:H,Inventory!$A29,'Mouvement Log'!I:I,Inventory!$B29,'Mouvement Log'!F:F,Inventory!$E$8,'Mouvement Log'!A:A,"&gt;=" &amp; Inventory!$B$7,'Mouvement Log'!A:A,"&lt;=" &amp; Inventory!$E$7)</f>
        <v>0</v>
      </c>
      <c r="F29" s="2">
        <f>SUMIFS('Mouvement Log'!J:J,'Mouvement Log'!H:H,Inventory!$A29,'Mouvement Log'!I:I,Inventory!$B29,'Mouvement Log'!E:E,Inventory!$E$8,'Mouvement Log'!A:A,"&gt;=" &amp; Inventory!$B$7,'Mouvement Log'!A:A,"&lt;=" &amp; Inventory!$E$7)</f>
        <v>0</v>
      </c>
      <c r="G29" s="2">
        <f>SUMIFS('Inventory Log'!F:F,'Inventory Log'!A:A,Inventory!$E$7,'Inventory Log'!D:D,Inventory!$A29,'Inventory Log'!E:E,Inventory!$B29,'Inventory Log'!C:C,"Fin d'activité")</f>
        <v>0</v>
      </c>
      <c r="H29" s="2">
        <f t="shared" si="0"/>
        <v>0</v>
      </c>
      <c r="I29" s="2">
        <f t="shared" si="1"/>
        <v>0</v>
      </c>
    </row>
    <row r="30" spans="1:9" ht="15" thickBot="1" x14ac:dyDescent="0.35">
      <c r="A30" s="3" t="s">
        <v>12</v>
      </c>
      <c r="B30" s="136" t="s">
        <v>16</v>
      </c>
      <c r="C30" s="137"/>
      <c r="D30" s="2">
        <f>SUMIFS('Inventory Log'!F:F,'Inventory Log'!A:A,Inventory!$B$7,'Inventory Log'!D:D,Inventory!$A30,'Inventory Log'!E:E,Inventory!$B30,'Inventory Log'!C:C,"Début d'activité")</f>
        <v>0</v>
      </c>
      <c r="E30" s="2">
        <f>SUMIFS('Mouvement Log'!J:J,'Mouvement Log'!H:H,Inventory!$A30,'Mouvement Log'!I:I,Inventory!$B30,'Mouvement Log'!F:F,Inventory!$E$8,'Mouvement Log'!A:A,"&gt;=" &amp; Inventory!$B$7,'Mouvement Log'!A:A,"&lt;=" &amp; Inventory!$E$7)</f>
        <v>0</v>
      </c>
      <c r="F30" s="2">
        <f>SUMIFS('Mouvement Log'!J:J,'Mouvement Log'!H:H,Inventory!$A30,'Mouvement Log'!I:I,Inventory!$B30,'Mouvement Log'!E:E,Inventory!$E$8,'Mouvement Log'!A:A,"&gt;=" &amp; Inventory!$B$7,'Mouvement Log'!A:A,"&lt;=" &amp; Inventory!$E$7)</f>
        <v>0</v>
      </c>
      <c r="G30" s="2">
        <f>SUMIFS('Inventory Log'!F:F,'Inventory Log'!A:A,Inventory!$E$7,'Inventory Log'!D:D,Inventory!$A30,'Inventory Log'!E:E,Inventory!$B30,'Inventory Log'!C:C,"Fin d'activité")</f>
        <v>0</v>
      </c>
      <c r="H30" s="2">
        <f t="shared" si="0"/>
        <v>0</v>
      </c>
      <c r="I30" s="2">
        <f t="shared" si="1"/>
        <v>0</v>
      </c>
    </row>
    <row r="31" spans="1:9" ht="15" thickBot="1" x14ac:dyDescent="0.35">
      <c r="A31" s="3" t="s">
        <v>13</v>
      </c>
      <c r="B31" s="136" t="s">
        <v>16</v>
      </c>
      <c r="C31" s="137"/>
      <c r="D31" s="2">
        <f>SUMIFS('Inventory Log'!F:F,'Inventory Log'!A:A,Inventory!$B$7,'Inventory Log'!D:D,Inventory!$A31,'Inventory Log'!E:E,Inventory!$B31,'Inventory Log'!C:C,"Début d'activité")</f>
        <v>0</v>
      </c>
      <c r="E31" s="2">
        <f>SUMIFS('Mouvement Log'!J:J,'Mouvement Log'!H:H,Inventory!$A31,'Mouvement Log'!I:I,Inventory!$B31,'Mouvement Log'!F:F,Inventory!$E$8,'Mouvement Log'!A:A,"&gt;=" &amp; Inventory!$B$7,'Mouvement Log'!A:A,"&lt;=" &amp; Inventory!$E$7)</f>
        <v>0</v>
      </c>
      <c r="F31" s="2">
        <f>SUMIFS('Mouvement Log'!J:J,'Mouvement Log'!H:H,Inventory!$A31,'Mouvement Log'!I:I,Inventory!$B31,'Mouvement Log'!E:E,Inventory!$E$8,'Mouvement Log'!A:A,"&gt;=" &amp; Inventory!$B$7,'Mouvement Log'!A:A,"&lt;=" &amp; Inventory!$E$7)</f>
        <v>0</v>
      </c>
      <c r="G31" s="2">
        <f>SUMIFS('Inventory Log'!F:F,'Inventory Log'!A:A,Inventory!$E$7,'Inventory Log'!D:D,Inventory!$A31,'Inventory Log'!E:E,Inventory!$B31,'Inventory Log'!C:C,"Fin d'activité")</f>
        <v>0</v>
      </c>
      <c r="H31" s="2">
        <f t="shared" si="0"/>
        <v>0</v>
      </c>
      <c r="I31" s="2">
        <f t="shared" si="1"/>
        <v>0</v>
      </c>
    </row>
    <row r="32" spans="1:9" ht="15" thickBot="1" x14ac:dyDescent="0.35">
      <c r="A32" s="3" t="s">
        <v>14</v>
      </c>
      <c r="B32" s="136" t="s">
        <v>16</v>
      </c>
      <c r="C32" s="137"/>
      <c r="D32" s="2">
        <f>SUMIFS('Inventory Log'!F:F,'Inventory Log'!A:A,Inventory!$B$7,'Inventory Log'!D:D,Inventory!$A32,'Inventory Log'!E:E,Inventory!$B32,'Inventory Log'!C:C,"Début d'activité")</f>
        <v>0</v>
      </c>
      <c r="E32" s="2">
        <f>SUMIFS('Mouvement Log'!J:J,'Mouvement Log'!H:H,Inventory!$A32,'Mouvement Log'!I:I,Inventory!$B32,'Mouvement Log'!F:F,Inventory!$E$8,'Mouvement Log'!A:A,"&gt;=" &amp; Inventory!$B$7,'Mouvement Log'!A:A,"&lt;=" &amp; Inventory!$E$7)</f>
        <v>0</v>
      </c>
      <c r="F32" s="2">
        <f>SUMIFS('Mouvement Log'!J:J,'Mouvement Log'!H:H,Inventory!$A32,'Mouvement Log'!I:I,Inventory!$B32,'Mouvement Log'!E:E,Inventory!$E$8,'Mouvement Log'!A:A,"&gt;=" &amp; Inventory!$B$7,'Mouvement Log'!A:A,"&lt;=" &amp; Inventory!$E$7)</f>
        <v>0</v>
      </c>
      <c r="G32" s="2">
        <f>SUMIFS('Inventory Log'!F:F,'Inventory Log'!A:A,Inventory!$E$7,'Inventory Log'!D:D,Inventory!$A32,'Inventory Log'!E:E,Inventory!$B32,'Inventory Log'!C:C,"Fin d'activité")</f>
        <v>0</v>
      </c>
      <c r="H32" s="2">
        <f t="shared" si="0"/>
        <v>0</v>
      </c>
      <c r="I32" s="2">
        <f t="shared" si="1"/>
        <v>0</v>
      </c>
    </row>
    <row r="33" spans="1:9" ht="15" thickBot="1" x14ac:dyDescent="0.35">
      <c r="A33" s="4" t="s">
        <v>17</v>
      </c>
      <c r="B33" s="136" t="s">
        <v>18</v>
      </c>
      <c r="C33" s="137"/>
      <c r="D33" s="2">
        <f>SUMIFS('Inventory Log'!F:F,'Inventory Log'!A:A,Inventory!$B$7,'Inventory Log'!D:D,Inventory!$A33,'Inventory Log'!E:E,Inventory!$B33,'Inventory Log'!C:C,"Début d'activité")</f>
        <v>0</v>
      </c>
      <c r="E33" s="2">
        <f>SUMIFS('Mouvement Log'!J:J,'Mouvement Log'!H:H,Inventory!$A33,'Mouvement Log'!I:I,Inventory!$B33,'Mouvement Log'!F:F,Inventory!$E$8,'Mouvement Log'!A:A,"&gt;=" &amp; Inventory!$B$7,'Mouvement Log'!A:A,"&lt;=" &amp; Inventory!$E$7)</f>
        <v>0</v>
      </c>
      <c r="F33" s="2">
        <f>SUMIFS('Mouvement Log'!J:J,'Mouvement Log'!H:H,Inventory!$A33,'Mouvement Log'!I:I,Inventory!$B33,'Mouvement Log'!E:E,Inventory!$E$8,'Mouvement Log'!A:A,"&gt;=" &amp; Inventory!$B$7,'Mouvement Log'!A:A,"&lt;=" &amp; Inventory!$E$7)</f>
        <v>0</v>
      </c>
      <c r="G33" s="2">
        <f>SUMIFS('Inventory Log'!F:F,'Inventory Log'!A:A,Inventory!$E$7,'Inventory Log'!D:D,Inventory!$A33,'Inventory Log'!E:E,Inventory!$B33,'Inventory Log'!C:C,"Fin d'activité")</f>
        <v>0</v>
      </c>
      <c r="H33" s="2">
        <f t="shared" si="0"/>
        <v>0</v>
      </c>
      <c r="I33" s="2">
        <f t="shared" si="1"/>
        <v>0</v>
      </c>
    </row>
    <row r="34" spans="1:9" ht="15" thickBot="1" x14ac:dyDescent="0.35">
      <c r="A34" s="4" t="s">
        <v>19</v>
      </c>
      <c r="B34" s="136" t="s">
        <v>18</v>
      </c>
      <c r="C34" s="137"/>
      <c r="D34" s="2">
        <f>SUMIFS('Inventory Log'!F:F,'Inventory Log'!A:A,Inventory!$B$7,'Inventory Log'!D:D,Inventory!$A34,'Inventory Log'!E:E,Inventory!$B34,'Inventory Log'!C:C,"Début d'activité")</f>
        <v>0</v>
      </c>
      <c r="E34" s="2">
        <f>SUMIFS('Mouvement Log'!J:J,'Mouvement Log'!H:H,Inventory!$A34,'Mouvement Log'!I:I,Inventory!$B34,'Mouvement Log'!F:F,Inventory!$E$8,'Mouvement Log'!A:A,"&gt;=" &amp; Inventory!$B$7,'Mouvement Log'!A:A,"&lt;=" &amp; Inventory!$E$7)</f>
        <v>0</v>
      </c>
      <c r="F34" s="2">
        <f>SUMIFS('Mouvement Log'!J:J,'Mouvement Log'!H:H,Inventory!$A34,'Mouvement Log'!I:I,Inventory!$B34,'Mouvement Log'!E:E,Inventory!$E$8,'Mouvement Log'!A:A,"&gt;=" &amp; Inventory!$B$7,'Mouvement Log'!A:A,"&lt;=" &amp; Inventory!$E$7)</f>
        <v>0</v>
      </c>
      <c r="G34" s="2">
        <f>SUMIFS('Inventory Log'!F:F,'Inventory Log'!A:A,Inventory!$E$7,'Inventory Log'!D:D,Inventory!$A34,'Inventory Log'!E:E,Inventory!$B34,'Inventory Log'!C:C,"Fin d'activité")</f>
        <v>0</v>
      </c>
      <c r="H34" s="2">
        <f t="shared" si="0"/>
        <v>0</v>
      </c>
      <c r="I34" s="2">
        <f t="shared" si="1"/>
        <v>0</v>
      </c>
    </row>
    <row r="35" spans="1:9" ht="15" thickBot="1" x14ac:dyDescent="0.35">
      <c r="A35" s="4" t="s">
        <v>20</v>
      </c>
      <c r="B35" s="136" t="s">
        <v>18</v>
      </c>
      <c r="C35" s="137"/>
      <c r="D35" s="2">
        <f>SUMIFS('Inventory Log'!F:F,'Inventory Log'!A:A,Inventory!$B$7,'Inventory Log'!D:D,Inventory!$A35,'Inventory Log'!E:E,Inventory!$B35,'Inventory Log'!C:C,"Début d'activité")</f>
        <v>0</v>
      </c>
      <c r="E35" s="2">
        <f>SUMIFS('Mouvement Log'!J:J,'Mouvement Log'!H:H,Inventory!$A35,'Mouvement Log'!I:I,Inventory!$B35,'Mouvement Log'!F:F,Inventory!$E$8,'Mouvement Log'!A:A,"&gt;=" &amp; Inventory!$B$7,'Mouvement Log'!A:A,"&lt;=" &amp; Inventory!$E$7)</f>
        <v>0</v>
      </c>
      <c r="F35" s="2">
        <f>SUMIFS('Mouvement Log'!J:J,'Mouvement Log'!H:H,Inventory!$A35,'Mouvement Log'!I:I,Inventory!$B35,'Mouvement Log'!E:E,Inventory!$E$8,'Mouvement Log'!A:A,"&gt;=" &amp; Inventory!$B$7,'Mouvement Log'!A:A,"&lt;=" &amp; Inventory!$E$7)</f>
        <v>0</v>
      </c>
      <c r="G35" s="2">
        <f>SUMIFS('Inventory Log'!F:F,'Inventory Log'!A:A,Inventory!$E$7,'Inventory Log'!D:D,Inventory!$A35,'Inventory Log'!E:E,Inventory!$B35,'Inventory Log'!C:C,"Fin d'activité")</f>
        <v>0</v>
      </c>
      <c r="H35" s="2">
        <f t="shared" si="0"/>
        <v>0</v>
      </c>
      <c r="I35" s="2">
        <f t="shared" si="1"/>
        <v>0</v>
      </c>
    </row>
    <row r="36" spans="1:9" ht="15" thickBot="1" x14ac:dyDescent="0.35">
      <c r="A36" s="4" t="s">
        <v>17</v>
      </c>
      <c r="B36" s="136" t="s">
        <v>21</v>
      </c>
      <c r="C36" s="137"/>
      <c r="D36" s="2">
        <f>SUMIFS('Inventory Log'!F:F,'Inventory Log'!A:A,Inventory!$B$7,'Inventory Log'!D:D,Inventory!$A36,'Inventory Log'!E:E,Inventory!$B36,'Inventory Log'!C:C,"Début d'activité")</f>
        <v>0</v>
      </c>
      <c r="E36" s="2">
        <f>SUMIFS('Mouvement Log'!J:J,'Mouvement Log'!H:H,Inventory!$A36,'Mouvement Log'!I:I,Inventory!$B36,'Mouvement Log'!F:F,Inventory!$E$8,'Mouvement Log'!A:A,"&gt;=" &amp; Inventory!$B$7,'Mouvement Log'!A:A,"&lt;=" &amp; Inventory!$E$7)</f>
        <v>0</v>
      </c>
      <c r="F36" s="2">
        <f>SUMIFS('Mouvement Log'!J:J,'Mouvement Log'!H:H,Inventory!$A36,'Mouvement Log'!I:I,Inventory!$B36,'Mouvement Log'!E:E,Inventory!$E$8,'Mouvement Log'!A:A,"&gt;=" &amp; Inventory!$B$7,'Mouvement Log'!A:A,"&lt;=" &amp; Inventory!$E$7)</f>
        <v>0</v>
      </c>
      <c r="G36" s="2">
        <f>SUMIFS('Inventory Log'!F:F,'Inventory Log'!A:A,Inventory!$E$7,'Inventory Log'!D:D,Inventory!$A36,'Inventory Log'!E:E,Inventory!$B36,'Inventory Log'!C:C,"Fin d'activité")</f>
        <v>0</v>
      </c>
      <c r="H36" s="2">
        <f t="shared" si="0"/>
        <v>0</v>
      </c>
      <c r="I36" s="2">
        <f t="shared" si="1"/>
        <v>0</v>
      </c>
    </row>
    <row r="37" spans="1:9" ht="15" thickBot="1" x14ac:dyDescent="0.35">
      <c r="A37" s="4" t="s">
        <v>19</v>
      </c>
      <c r="B37" s="136" t="s">
        <v>21</v>
      </c>
      <c r="C37" s="137"/>
      <c r="D37" s="2">
        <f>SUMIFS('Inventory Log'!F:F,'Inventory Log'!A:A,Inventory!$B$7,'Inventory Log'!D:D,Inventory!$A37,'Inventory Log'!E:E,Inventory!$B37,'Inventory Log'!C:C,"Début d'activité")</f>
        <v>0</v>
      </c>
      <c r="E37" s="2">
        <f>SUMIFS('Mouvement Log'!J:J,'Mouvement Log'!H:H,Inventory!$A37,'Mouvement Log'!I:I,Inventory!$B37,'Mouvement Log'!F:F,Inventory!$E$8,'Mouvement Log'!A:A,"&gt;=" &amp; Inventory!$B$7,'Mouvement Log'!A:A,"&lt;=" &amp; Inventory!$E$7)</f>
        <v>0</v>
      </c>
      <c r="F37" s="2">
        <f>SUMIFS('Mouvement Log'!J:J,'Mouvement Log'!H:H,Inventory!$A37,'Mouvement Log'!I:I,Inventory!$B37,'Mouvement Log'!E:E,Inventory!$E$8,'Mouvement Log'!A:A,"&gt;=" &amp; Inventory!$B$7,'Mouvement Log'!A:A,"&lt;=" &amp; Inventory!$E$7)</f>
        <v>0</v>
      </c>
      <c r="G37" s="2">
        <f>SUMIFS('Inventory Log'!F:F,'Inventory Log'!A:A,Inventory!$E$7,'Inventory Log'!D:D,Inventory!$A37,'Inventory Log'!E:E,Inventory!$B37,'Inventory Log'!C:C,"Fin d'activité")</f>
        <v>0</v>
      </c>
      <c r="H37" s="2">
        <f t="shared" si="0"/>
        <v>0</v>
      </c>
      <c r="I37" s="2">
        <f t="shared" si="1"/>
        <v>0</v>
      </c>
    </row>
    <row r="38" spans="1:9" ht="15" thickBot="1" x14ac:dyDescent="0.35">
      <c r="A38" s="4" t="s">
        <v>20</v>
      </c>
      <c r="B38" s="136" t="s">
        <v>21</v>
      </c>
      <c r="C38" s="137"/>
      <c r="D38" s="2">
        <f>SUMIFS('Inventory Log'!F:F,'Inventory Log'!A:A,Inventory!$B$7,'Inventory Log'!D:D,Inventory!$A38,'Inventory Log'!E:E,Inventory!$B38,'Inventory Log'!C:C,"Début d'activité")</f>
        <v>0</v>
      </c>
      <c r="E38" s="2">
        <f>SUMIFS('Mouvement Log'!J:J,'Mouvement Log'!H:H,Inventory!$A38,'Mouvement Log'!I:I,Inventory!$B38,'Mouvement Log'!F:F,Inventory!$E$8,'Mouvement Log'!A:A,"&gt;=" &amp; Inventory!$B$7,'Mouvement Log'!A:A,"&lt;=" &amp; Inventory!$E$7)</f>
        <v>0</v>
      </c>
      <c r="F38" s="2">
        <f>SUMIFS('Mouvement Log'!J:J,'Mouvement Log'!H:H,Inventory!$A38,'Mouvement Log'!I:I,Inventory!$B38,'Mouvement Log'!E:E,Inventory!$E$8,'Mouvement Log'!A:A,"&gt;=" &amp; Inventory!$B$7,'Mouvement Log'!A:A,"&lt;=" &amp; Inventory!$E$7)</f>
        <v>0</v>
      </c>
      <c r="G38" s="2">
        <f>SUMIFS('Inventory Log'!F:F,'Inventory Log'!A:A,Inventory!$E$7,'Inventory Log'!D:D,Inventory!$A38,'Inventory Log'!E:E,Inventory!$B38,'Inventory Log'!C:C,"Fin d'activité")</f>
        <v>0</v>
      </c>
      <c r="H38" s="2">
        <f t="shared" si="0"/>
        <v>0</v>
      </c>
      <c r="I38" s="2">
        <f t="shared" si="1"/>
        <v>0</v>
      </c>
    </row>
    <row r="39" spans="1:9" ht="15" thickBot="1" x14ac:dyDescent="0.35">
      <c r="A39" s="4" t="s">
        <v>17</v>
      </c>
      <c r="B39" s="136" t="s">
        <v>22</v>
      </c>
      <c r="C39" s="137"/>
      <c r="D39" s="2">
        <f>SUMIFS('Inventory Log'!F:F,'Inventory Log'!A:A,Inventory!$B$7,'Inventory Log'!D:D,Inventory!$A39,'Inventory Log'!E:E,Inventory!$B39,'Inventory Log'!C:C,"Début d'activité")</f>
        <v>0</v>
      </c>
      <c r="E39" s="2">
        <f>SUMIFS('Mouvement Log'!J:J,'Mouvement Log'!H:H,Inventory!$A39,'Mouvement Log'!I:I,Inventory!$B39,'Mouvement Log'!F:F,Inventory!$E$8,'Mouvement Log'!A:A,"&gt;=" &amp; Inventory!$B$7,'Mouvement Log'!A:A,"&lt;=" &amp; Inventory!$E$7)</f>
        <v>0</v>
      </c>
      <c r="F39" s="2">
        <f>SUMIFS('Mouvement Log'!J:J,'Mouvement Log'!H:H,Inventory!$A39,'Mouvement Log'!I:I,Inventory!$B39,'Mouvement Log'!E:E,Inventory!$E$8,'Mouvement Log'!A:A,"&gt;=" &amp; Inventory!$B$7,'Mouvement Log'!A:A,"&lt;=" &amp; Inventory!$E$7)</f>
        <v>0</v>
      </c>
      <c r="G39" s="2">
        <f>SUMIFS('Inventory Log'!F:F,'Inventory Log'!A:A,Inventory!$E$7,'Inventory Log'!D:D,Inventory!$A39,'Inventory Log'!E:E,Inventory!$B39,'Inventory Log'!C:C,"Fin d'activité")</f>
        <v>0</v>
      </c>
      <c r="H39" s="2">
        <f t="shared" si="0"/>
        <v>0</v>
      </c>
      <c r="I39" s="2">
        <f t="shared" si="1"/>
        <v>0</v>
      </c>
    </row>
    <row r="40" spans="1:9" ht="15" thickBot="1" x14ac:dyDescent="0.35">
      <c r="A40" s="4" t="s">
        <v>19</v>
      </c>
      <c r="B40" s="136" t="s">
        <v>22</v>
      </c>
      <c r="C40" s="137"/>
      <c r="D40" s="2">
        <f>SUMIFS('Inventory Log'!F:F,'Inventory Log'!A:A,Inventory!$B$7,'Inventory Log'!D:D,Inventory!$A40,'Inventory Log'!E:E,Inventory!$B40,'Inventory Log'!C:C,"Début d'activité")</f>
        <v>0</v>
      </c>
      <c r="E40" s="2">
        <f>SUMIFS('Mouvement Log'!J:J,'Mouvement Log'!H:H,Inventory!$A40,'Mouvement Log'!I:I,Inventory!$B40,'Mouvement Log'!F:F,Inventory!$E$8,'Mouvement Log'!A:A,"&gt;=" &amp; Inventory!$B$7,'Mouvement Log'!A:A,"&lt;=" &amp; Inventory!$E$7)</f>
        <v>0</v>
      </c>
      <c r="F40" s="2">
        <f>SUMIFS('Mouvement Log'!J:J,'Mouvement Log'!H:H,Inventory!$A40,'Mouvement Log'!I:I,Inventory!$B40,'Mouvement Log'!E:E,Inventory!$E$8,'Mouvement Log'!A:A,"&gt;=" &amp; Inventory!$B$7,'Mouvement Log'!A:A,"&lt;=" &amp; Inventory!$E$7)</f>
        <v>0</v>
      </c>
      <c r="G40" s="2">
        <f>SUMIFS('Inventory Log'!F:F,'Inventory Log'!A:A,Inventory!$E$7,'Inventory Log'!D:D,Inventory!$A40,'Inventory Log'!E:E,Inventory!$B40,'Inventory Log'!C:C,"Fin d'activité")</f>
        <v>0</v>
      </c>
      <c r="H40" s="2">
        <f t="shared" si="0"/>
        <v>0</v>
      </c>
      <c r="I40" s="2">
        <f t="shared" si="1"/>
        <v>0</v>
      </c>
    </row>
    <row r="41" spans="1:9" ht="15" thickBot="1" x14ac:dyDescent="0.35">
      <c r="A41" s="4" t="s">
        <v>20</v>
      </c>
      <c r="B41" s="136" t="s">
        <v>22</v>
      </c>
      <c r="C41" s="137"/>
      <c r="D41" s="2">
        <f>SUMIFS('Inventory Log'!F:F,'Inventory Log'!A:A,Inventory!$B$7,'Inventory Log'!D:D,Inventory!$A41,'Inventory Log'!E:E,Inventory!$B41,'Inventory Log'!C:C,"Début d'activité")</f>
        <v>0</v>
      </c>
      <c r="E41" s="2">
        <f>SUMIFS('Mouvement Log'!J:J,'Mouvement Log'!H:H,Inventory!$A41,'Mouvement Log'!I:I,Inventory!$B41,'Mouvement Log'!F:F,Inventory!$E$8,'Mouvement Log'!A:A,"&gt;=" &amp; Inventory!$B$7,'Mouvement Log'!A:A,"&lt;=" &amp; Inventory!$E$7)</f>
        <v>0</v>
      </c>
      <c r="F41" s="2">
        <f>SUMIFS('Mouvement Log'!J:J,'Mouvement Log'!H:H,Inventory!$A41,'Mouvement Log'!I:I,Inventory!$B41,'Mouvement Log'!E:E,Inventory!$E$8,'Mouvement Log'!A:A,"&gt;=" &amp; Inventory!$B$7,'Mouvement Log'!A:A,"&lt;=" &amp; Inventory!$E$7)</f>
        <v>0</v>
      </c>
      <c r="G41" s="2">
        <f>SUMIFS('Inventory Log'!F:F,'Inventory Log'!A:A,Inventory!$E$7,'Inventory Log'!D:D,Inventory!$A41,'Inventory Log'!E:E,Inventory!$B41,'Inventory Log'!C:C,"Fin d'activité")</f>
        <v>0</v>
      </c>
      <c r="H41" s="2">
        <f t="shared" si="0"/>
        <v>0</v>
      </c>
      <c r="I41" s="2">
        <f t="shared" si="1"/>
        <v>0</v>
      </c>
    </row>
    <row r="42" spans="1:9" ht="15" thickBot="1" x14ac:dyDescent="0.35">
      <c r="A42" s="24" t="s">
        <v>23</v>
      </c>
      <c r="B42" s="136" t="s">
        <v>24</v>
      </c>
      <c r="C42" s="137"/>
      <c r="D42" s="2">
        <f>SUMIFS('Inventory Log'!F:F,'Inventory Log'!A:A,Inventory!$B$7,'Inventory Log'!D:D,Inventory!$A42,'Inventory Log'!E:E,Inventory!$B42,'Inventory Log'!C:C,"Début d'activité")</f>
        <v>0</v>
      </c>
      <c r="E42" s="2">
        <f>SUMIFS('Mouvement Log'!J:J,'Mouvement Log'!H:H,Inventory!$A42,'Mouvement Log'!I:I,Inventory!$B42,'Mouvement Log'!F:F,Inventory!$E$8,'Mouvement Log'!A:A,"&gt;=" &amp; Inventory!$B$7,'Mouvement Log'!A:A,"&lt;=" &amp; Inventory!$E$7)</f>
        <v>0</v>
      </c>
      <c r="F42" s="2">
        <f>SUMIFS('Mouvement Log'!J:J,'Mouvement Log'!H:H,Inventory!$A42,'Mouvement Log'!I:I,Inventory!$B42,'Mouvement Log'!E:E,Inventory!$E$8,'Mouvement Log'!A:A,"&gt;=" &amp; Inventory!$B$7,'Mouvement Log'!A:A,"&lt;=" &amp; Inventory!$E$7)</f>
        <v>0</v>
      </c>
      <c r="G42" s="2">
        <f>SUMIFS('Inventory Log'!F:F,'Inventory Log'!A:A,Inventory!$E$7,'Inventory Log'!D:D,Inventory!$A42,'Inventory Log'!E:E,Inventory!$B42,'Inventory Log'!C:C,"Fin d'activité")</f>
        <v>0</v>
      </c>
      <c r="H42" s="2">
        <f t="shared" si="0"/>
        <v>0</v>
      </c>
      <c r="I42" s="2">
        <f t="shared" si="1"/>
        <v>0</v>
      </c>
    </row>
    <row r="43" spans="1:9" ht="15" thickBot="1" x14ac:dyDescent="0.35">
      <c r="A43" s="24" t="s">
        <v>25</v>
      </c>
      <c r="B43" s="136" t="s">
        <v>24</v>
      </c>
      <c r="C43" s="137"/>
      <c r="D43" s="2">
        <f>SUMIFS('Inventory Log'!F:F,'Inventory Log'!A:A,Inventory!$B$7,'Inventory Log'!D:D,Inventory!$A43,'Inventory Log'!E:E,Inventory!$B43,'Inventory Log'!C:C,"Début d'activité")</f>
        <v>0</v>
      </c>
      <c r="E43" s="2">
        <f>SUMIFS('Mouvement Log'!J:J,'Mouvement Log'!H:H,Inventory!$A43,'Mouvement Log'!I:I,Inventory!$B43,'Mouvement Log'!F:F,Inventory!$E$8,'Mouvement Log'!A:A,"&gt;=" &amp; Inventory!$B$7,'Mouvement Log'!A:A,"&lt;=" &amp; Inventory!$E$7)</f>
        <v>0</v>
      </c>
      <c r="F43" s="2">
        <f>SUMIFS('Mouvement Log'!J:J,'Mouvement Log'!H:H,Inventory!$A43,'Mouvement Log'!I:I,Inventory!$B43,'Mouvement Log'!E:E,Inventory!$E$8,'Mouvement Log'!A:A,"&gt;=" &amp; Inventory!$B$7,'Mouvement Log'!A:A,"&lt;=" &amp; Inventory!$E$7)</f>
        <v>0</v>
      </c>
      <c r="G43" s="2">
        <f>SUMIFS('Inventory Log'!F:F,'Inventory Log'!A:A,Inventory!$E$7,'Inventory Log'!D:D,Inventory!$A43,'Inventory Log'!E:E,Inventory!$B43,'Inventory Log'!C:C,"Fin d'activité")</f>
        <v>0</v>
      </c>
      <c r="H43" s="2">
        <f t="shared" si="0"/>
        <v>0</v>
      </c>
      <c r="I43" s="2">
        <f t="shared" si="1"/>
        <v>0</v>
      </c>
    </row>
    <row r="44" spans="1:9" ht="15" thickBot="1" x14ac:dyDescent="0.35">
      <c r="A44" s="24" t="s">
        <v>26</v>
      </c>
      <c r="B44" s="136" t="s">
        <v>27</v>
      </c>
      <c r="C44" s="137"/>
      <c r="D44" s="2">
        <f>SUMIFS('Inventory Log'!F:F,'Inventory Log'!A:A,Inventory!$B$7,'Inventory Log'!D:D,Inventory!$A44,'Inventory Log'!E:E,Inventory!$B44,'Inventory Log'!C:C,"Début d'activité")</f>
        <v>0</v>
      </c>
      <c r="E44" s="2">
        <f>SUMIFS('Mouvement Log'!J:J,'Mouvement Log'!H:H,Inventory!$A44,'Mouvement Log'!I:I,Inventory!$B44,'Mouvement Log'!F:F,Inventory!$E$8,'Mouvement Log'!A:A,"&gt;=" &amp; Inventory!$B$7,'Mouvement Log'!A:A,"&lt;=" &amp; Inventory!$E$7)</f>
        <v>0</v>
      </c>
      <c r="F44" s="2">
        <f>SUMIFS('Mouvement Log'!J:J,'Mouvement Log'!H:H,Inventory!$A44,'Mouvement Log'!I:I,Inventory!$B44,'Mouvement Log'!E:E,Inventory!$E$8,'Mouvement Log'!A:A,"&gt;=" &amp; Inventory!$B$7,'Mouvement Log'!A:A,"&lt;=" &amp; Inventory!$E$7)</f>
        <v>0</v>
      </c>
      <c r="G44" s="2">
        <f>SUMIFS('Inventory Log'!F:F,'Inventory Log'!A:A,Inventory!$E$7,'Inventory Log'!D:D,Inventory!$A44,'Inventory Log'!E:E,Inventory!$B44,'Inventory Log'!C:C,"Fin d'activité")</f>
        <v>0</v>
      </c>
      <c r="H44" s="2">
        <f t="shared" si="0"/>
        <v>0</v>
      </c>
      <c r="I44" s="2">
        <f t="shared" si="1"/>
        <v>0</v>
      </c>
    </row>
    <row r="45" spans="1:9" ht="15" thickBot="1" x14ac:dyDescent="0.35">
      <c r="A45" s="24" t="s">
        <v>28</v>
      </c>
      <c r="B45" s="136" t="s">
        <v>27</v>
      </c>
      <c r="C45" s="137"/>
      <c r="D45" s="2">
        <f>SUMIFS('Inventory Log'!F:F,'Inventory Log'!A:A,Inventory!$B$7,'Inventory Log'!D:D,Inventory!$A45,'Inventory Log'!E:E,Inventory!$B45,'Inventory Log'!C:C,"Début d'activité")</f>
        <v>0</v>
      </c>
      <c r="E45" s="2">
        <f>SUMIFS('Mouvement Log'!J:J,'Mouvement Log'!H:H,Inventory!$A45,'Mouvement Log'!I:I,Inventory!$B45,'Mouvement Log'!F:F,Inventory!$E$8,'Mouvement Log'!A:A,"&gt;=" &amp; Inventory!$B$7,'Mouvement Log'!A:A,"&lt;=" &amp; Inventory!$E$7)</f>
        <v>0</v>
      </c>
      <c r="F45" s="2">
        <f>SUMIFS('Mouvement Log'!J:J,'Mouvement Log'!H:H,Inventory!$A45,'Mouvement Log'!I:I,Inventory!$B45,'Mouvement Log'!E:E,Inventory!$E$8,'Mouvement Log'!A:A,"&gt;=" &amp; Inventory!$B$7,'Mouvement Log'!A:A,"&lt;=" &amp; Inventory!$E$7)</f>
        <v>0</v>
      </c>
      <c r="G45" s="2">
        <f>SUMIFS('Inventory Log'!F:F,'Inventory Log'!A:A,Inventory!$E$7,'Inventory Log'!D:D,Inventory!$A45,'Inventory Log'!E:E,Inventory!$B45,'Inventory Log'!C:C,"Fin d'activité")</f>
        <v>0</v>
      </c>
      <c r="H45" s="2">
        <f t="shared" si="0"/>
        <v>0</v>
      </c>
      <c r="I45" s="2">
        <f t="shared" si="1"/>
        <v>0</v>
      </c>
    </row>
    <row r="46" spans="1:9" ht="15" thickBot="1" x14ac:dyDescent="0.35">
      <c r="A46" s="24" t="s">
        <v>29</v>
      </c>
      <c r="B46" s="136" t="s">
        <v>29</v>
      </c>
      <c r="C46" s="137"/>
      <c r="D46" s="2">
        <f>SUMIFS('Inventory Log'!F:F,'Inventory Log'!A:A,Inventory!$B$7,'Inventory Log'!D:D,Inventory!$A46,'Inventory Log'!E:E,Inventory!$B46,'Inventory Log'!C:C,"Début d'activité")</f>
        <v>0</v>
      </c>
      <c r="E46" s="2">
        <f>SUMIFS('Mouvement Log'!J:J,'Mouvement Log'!H:H,Inventory!$A46,'Mouvement Log'!I:I,Inventory!$B46,'Mouvement Log'!F:F,Inventory!$E$8,'Mouvement Log'!A:A,"&gt;=" &amp; Inventory!$B$7,'Mouvement Log'!A:A,"&lt;=" &amp; Inventory!$E$7)</f>
        <v>0</v>
      </c>
      <c r="F46" s="2">
        <f>SUMIFS('Mouvement Log'!J:J,'Mouvement Log'!H:H,Inventory!$A46,'Mouvement Log'!I:I,Inventory!$B46,'Mouvement Log'!E:E,Inventory!$E$8,'Mouvement Log'!A:A,"&gt;=" &amp; Inventory!$B$7,'Mouvement Log'!A:A,"&lt;=" &amp; Inventory!$E$7)</f>
        <v>0</v>
      </c>
      <c r="G46" s="2">
        <f>SUMIFS('Inventory Log'!F:F,'Inventory Log'!A:A,Inventory!$E$7,'Inventory Log'!D:D,Inventory!$A46,'Inventory Log'!E:E,Inventory!$B46,'Inventory Log'!C:C,"Fin d'activité")</f>
        <v>0</v>
      </c>
      <c r="H46" s="2">
        <f t="shared" si="0"/>
        <v>0</v>
      </c>
      <c r="I46" s="2">
        <f t="shared" si="1"/>
        <v>0</v>
      </c>
    </row>
    <row r="47" spans="1:9" ht="15" thickBot="1" x14ac:dyDescent="0.35">
      <c r="A47" s="24" t="s">
        <v>30</v>
      </c>
      <c r="B47" s="136" t="s">
        <v>30</v>
      </c>
      <c r="C47" s="137"/>
      <c r="D47" s="2">
        <f>SUMIFS('Inventory Log'!F:F,'Inventory Log'!A:A,Inventory!$B$7,'Inventory Log'!D:D,Inventory!$A47,'Inventory Log'!E:E,Inventory!$B47,'Inventory Log'!C:C,"Début d'activité")</f>
        <v>0</v>
      </c>
      <c r="E47" s="2">
        <f>SUMIFS('Mouvement Log'!J:J,'Mouvement Log'!H:H,Inventory!$A47,'Mouvement Log'!I:I,Inventory!$B47,'Mouvement Log'!F:F,Inventory!$E$8,'Mouvement Log'!A:A,"&gt;=" &amp; Inventory!$B$7,'Mouvement Log'!A:A,"&lt;=" &amp; Inventory!$E$7)</f>
        <v>0</v>
      </c>
      <c r="F47" s="2">
        <f>SUMIFS('Mouvement Log'!J:J,'Mouvement Log'!H:H,Inventory!$A47,'Mouvement Log'!I:I,Inventory!$B47,'Mouvement Log'!E:E,Inventory!$E$8,'Mouvement Log'!A:A,"&gt;=" &amp; Inventory!$B$7,'Mouvement Log'!A:A,"&lt;=" &amp; Inventory!$E$7)</f>
        <v>0</v>
      </c>
      <c r="G47" s="2">
        <f>SUMIFS('Inventory Log'!F:F,'Inventory Log'!A:A,Inventory!$E$7,'Inventory Log'!D:D,Inventory!$A47,'Inventory Log'!E:E,Inventory!$B47,'Inventory Log'!C:C,"Fin d'activité")</f>
        <v>5</v>
      </c>
      <c r="H47" s="2">
        <f t="shared" si="0"/>
        <v>0</v>
      </c>
      <c r="I47" s="2">
        <f t="shared" si="1"/>
        <v>-5</v>
      </c>
    </row>
    <row r="48" spans="1:9" ht="15" thickBot="1" x14ac:dyDescent="0.35">
      <c r="A48" s="24" t="s">
        <v>31</v>
      </c>
      <c r="B48" s="136" t="s">
        <v>31</v>
      </c>
      <c r="C48" s="137"/>
      <c r="D48" s="2">
        <f>SUMIFS('Inventory Log'!F:F,'Inventory Log'!A:A,Inventory!$B$7,'Inventory Log'!D:D,Inventory!$A48,'Inventory Log'!E:E,Inventory!$B48,'Inventory Log'!C:C,"Début d'activité")</f>
        <v>0</v>
      </c>
      <c r="E48" s="2">
        <f>SUMIFS('Mouvement Log'!J:J,'Mouvement Log'!H:H,Inventory!$A48,'Mouvement Log'!I:I,Inventory!$B48,'Mouvement Log'!F:F,Inventory!$E$8,'Mouvement Log'!A:A,"&gt;=" &amp; Inventory!$B$7,'Mouvement Log'!A:A,"&lt;=" &amp; Inventory!$E$7)</f>
        <v>0</v>
      </c>
      <c r="F48" s="2">
        <f>SUMIFS('Mouvement Log'!J:J,'Mouvement Log'!H:H,Inventory!$A48,'Mouvement Log'!I:I,Inventory!$B48,'Mouvement Log'!E:E,Inventory!$E$8,'Mouvement Log'!A:A,"&gt;=" &amp; Inventory!$B$7,'Mouvement Log'!A:A,"&lt;=" &amp; Inventory!$E$7)</f>
        <v>0</v>
      </c>
      <c r="G48" s="2">
        <f>SUMIFS('Inventory Log'!F:F,'Inventory Log'!A:A,Inventory!$E$7,'Inventory Log'!D:D,Inventory!$A48,'Inventory Log'!E:E,Inventory!$B48,'Inventory Log'!C:C,"Fin d'activité")</f>
        <v>0</v>
      </c>
      <c r="H48" s="2">
        <f t="shared" si="0"/>
        <v>0</v>
      </c>
      <c r="I48" s="2">
        <f t="shared" si="1"/>
        <v>0</v>
      </c>
    </row>
    <row r="49" spans="1:9" ht="15" thickBot="1" x14ac:dyDescent="0.35">
      <c r="A49" s="24" t="s">
        <v>32</v>
      </c>
      <c r="B49" s="136" t="s">
        <v>32</v>
      </c>
      <c r="C49" s="137"/>
      <c r="D49" s="2">
        <f>SUMIFS('Inventory Log'!F:F,'Inventory Log'!A:A,Inventory!$B$7,'Inventory Log'!D:D,Inventory!$A49,'Inventory Log'!E:E,Inventory!$B49,'Inventory Log'!C:C,"Début d'activité")</f>
        <v>0</v>
      </c>
      <c r="E49" s="2">
        <f>SUMIFS('Mouvement Log'!J:J,'Mouvement Log'!H:H,Inventory!$A49,'Mouvement Log'!I:I,Inventory!$B49,'Mouvement Log'!F:F,Inventory!$E$8,'Mouvement Log'!A:A,"&gt;=" &amp; Inventory!$B$7,'Mouvement Log'!A:A,"&lt;=" &amp; Inventory!$E$7)</f>
        <v>0</v>
      </c>
      <c r="F49" s="2">
        <f>SUMIFS('Mouvement Log'!J:J,'Mouvement Log'!H:H,Inventory!$A49,'Mouvement Log'!I:I,Inventory!$B49,'Mouvement Log'!E:E,Inventory!$E$8,'Mouvement Log'!A:A,"&gt;=" &amp; Inventory!$B$7,'Mouvement Log'!A:A,"&lt;=" &amp; Inventory!$E$7)</f>
        <v>0</v>
      </c>
      <c r="G49" s="2">
        <f>SUMIFS('Inventory Log'!F:F,'Inventory Log'!A:A,Inventory!$E$7,'Inventory Log'!D:D,Inventory!$A49,'Inventory Log'!E:E,Inventory!$B49,'Inventory Log'!C:C,"Fin d'activité")</f>
        <v>13</v>
      </c>
      <c r="H49" s="2">
        <f t="shared" si="0"/>
        <v>0</v>
      </c>
      <c r="I49" s="2">
        <f t="shared" si="1"/>
        <v>-13</v>
      </c>
    </row>
    <row r="50" spans="1:9" ht="28.2" x14ac:dyDescent="0.3">
      <c r="A50" s="148"/>
      <c r="B50" s="148"/>
      <c r="C50" s="17"/>
      <c r="D50" s="17"/>
      <c r="E50" s="17"/>
      <c r="F50" s="17"/>
      <c r="G50" s="17"/>
      <c r="H50" s="17"/>
      <c r="I50" s="8"/>
    </row>
    <row r="51" spans="1:9" ht="12" customHeight="1" x14ac:dyDescent="0.3"/>
  </sheetData>
  <mergeCells count="48">
    <mergeCell ref="A1:B1"/>
    <mergeCell ref="A50:B50"/>
    <mergeCell ref="B46:C46"/>
    <mergeCell ref="B47:C47"/>
    <mergeCell ref="B48:C48"/>
    <mergeCell ref="B49:C49"/>
    <mergeCell ref="B18:C18"/>
    <mergeCell ref="B19:C19"/>
    <mergeCell ref="B32:C32"/>
    <mergeCell ref="B21:C21"/>
    <mergeCell ref="B45:C45"/>
    <mergeCell ref="B44:C44"/>
    <mergeCell ref="B42:C42"/>
    <mergeCell ref="B43:C43"/>
    <mergeCell ref="B33:C33"/>
    <mergeCell ref="B34:C34"/>
    <mergeCell ref="B35:C35"/>
    <mergeCell ref="B37:C37"/>
    <mergeCell ref="B38:C38"/>
    <mergeCell ref="B39:C39"/>
    <mergeCell ref="B40:C40"/>
    <mergeCell ref="B41:C41"/>
    <mergeCell ref="B36:C36"/>
    <mergeCell ref="B20:C20"/>
    <mergeCell ref="B14:C14"/>
    <mergeCell ref="B15:C15"/>
    <mergeCell ref="B16:C16"/>
    <mergeCell ref="B28:C28"/>
    <mergeCell ref="B17:C17"/>
    <mergeCell ref="B29:C29"/>
    <mergeCell ref="B30:C30"/>
    <mergeCell ref="B31:C31"/>
    <mergeCell ref="B22:C22"/>
    <mergeCell ref="B23:C23"/>
    <mergeCell ref="B24:C24"/>
    <mergeCell ref="B25:C25"/>
    <mergeCell ref="B26:C26"/>
    <mergeCell ref="B27:C27"/>
    <mergeCell ref="E9:E11"/>
    <mergeCell ref="F9:F11"/>
    <mergeCell ref="G9:G11"/>
    <mergeCell ref="H9:H11"/>
    <mergeCell ref="I9:I11"/>
    <mergeCell ref="B12:C12"/>
    <mergeCell ref="B13:C13"/>
    <mergeCell ref="B11:C11"/>
    <mergeCell ref="A9:C10"/>
    <mergeCell ref="D9:D11"/>
  </mergeCells>
  <conditionalFormatting sqref="I12:I4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E8" xr:uid="{FFB7EACE-C9B0-4C9F-9BAE-932538558C82}">
      <formula1>"Magasin GPL YAOUNDE Code N°465,Consignation Interne,Déclassification Interne"</formula1>
    </dataValidation>
    <dataValidation type="list" allowBlank="1" showInputMessage="1" showErrorMessage="1" sqref="B8" xr:uid="{8A60AAAE-8338-4C44-87B8-6ADA4EF31DC9}">
      <formula1>"BASSA,YAOUNDE,BAFOUSSAM,BERTOUA,GAROUA"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E1812-0372-46C2-BAFC-48D2DB81B7A6}">
  <sheetPr codeName="Feuil2">
    <pageSetUpPr fitToPage="1"/>
  </sheetPr>
  <dimension ref="A3:T93"/>
  <sheetViews>
    <sheetView showGridLines="0" topLeftCell="D23" zoomScale="55" zoomScaleNormal="55" workbookViewId="0">
      <selection activeCell="T55" sqref="T55"/>
    </sheetView>
  </sheetViews>
  <sheetFormatPr baseColWidth="10" defaultColWidth="11.5546875" defaultRowHeight="14.4" x14ac:dyDescent="0.3"/>
  <cols>
    <col min="1" max="1" width="14.21875" customWidth="1"/>
    <col min="2" max="2" width="12.44140625" customWidth="1"/>
    <col min="3" max="3" width="30.44140625" customWidth="1"/>
    <col min="4" max="4" width="47.77734375" customWidth="1"/>
    <col min="5" max="5" width="25.44140625" customWidth="1"/>
    <col min="6" max="6" width="23.6640625" customWidth="1"/>
    <col min="7" max="7" width="30" customWidth="1"/>
    <col min="8" max="8" width="41.109375" customWidth="1"/>
    <col min="9" max="9" width="20.21875" customWidth="1"/>
    <col min="10" max="10" width="29.5546875" customWidth="1"/>
    <col min="11" max="11" width="23.77734375" customWidth="1"/>
    <col min="12" max="12" width="39.44140625" customWidth="1"/>
    <col min="13" max="13" width="12.77734375" customWidth="1"/>
    <col min="14" max="14" width="21.21875" customWidth="1"/>
    <col min="16" max="16" width="10" customWidth="1"/>
    <col min="17" max="17" width="31.44140625" customWidth="1"/>
    <col min="18" max="18" width="28.77734375" customWidth="1"/>
    <col min="19" max="19" width="27.33203125" customWidth="1"/>
    <col min="20" max="20" width="21.44140625" customWidth="1"/>
    <col min="22" max="22" width="30.33203125" customWidth="1"/>
  </cols>
  <sheetData>
    <row r="3" spans="5:14" ht="15" thickBot="1" x14ac:dyDescent="0.35"/>
    <row r="4" spans="5:14" ht="40.799999999999997" customHeight="1" x14ac:dyDescent="0.3">
      <c r="E4" s="119"/>
      <c r="F4" s="120"/>
      <c r="G4" s="44"/>
      <c r="H4" s="56"/>
      <c r="I4" s="56"/>
      <c r="J4" s="56"/>
      <c r="K4" s="57"/>
      <c r="L4" s="57"/>
      <c r="M4" s="58"/>
      <c r="N4" s="59"/>
    </row>
    <row r="5" spans="5:14" ht="43.8" customHeight="1" x14ac:dyDescent="0.3">
      <c r="E5" s="190"/>
      <c r="F5" s="191"/>
      <c r="G5" s="60"/>
      <c r="H5" s="61"/>
      <c r="I5" s="61"/>
      <c r="J5" s="61"/>
      <c r="K5" s="62"/>
      <c r="L5" s="62"/>
      <c r="M5" s="62"/>
      <c r="N5" s="63"/>
    </row>
    <row r="6" spans="5:14" ht="28.2" customHeight="1" x14ac:dyDescent="0.3">
      <c r="E6" s="192"/>
      <c r="F6" s="193"/>
      <c r="G6" s="64"/>
      <c r="H6" s="90"/>
      <c r="I6" s="9"/>
      <c r="J6" s="158" t="s">
        <v>48</v>
      </c>
      <c r="K6" s="159"/>
      <c r="L6" s="188" t="s">
        <v>412</v>
      </c>
      <c r="M6" s="189"/>
      <c r="N6" s="63"/>
    </row>
    <row r="7" spans="5:14" ht="51" customHeight="1" x14ac:dyDescent="0.3">
      <c r="E7" s="65"/>
      <c r="F7" s="66"/>
      <c r="G7" s="67"/>
      <c r="H7" s="68"/>
      <c r="I7" s="9"/>
      <c r="J7" s="158" t="s">
        <v>54</v>
      </c>
      <c r="K7" s="159"/>
      <c r="L7" s="188" t="s">
        <v>52</v>
      </c>
      <c r="M7" s="189"/>
      <c r="N7" s="63"/>
    </row>
    <row r="8" spans="5:14" ht="50.4" customHeight="1" x14ac:dyDescent="0.3">
      <c r="E8" s="65"/>
      <c r="F8" s="66"/>
      <c r="G8" s="67"/>
      <c r="H8" s="68"/>
      <c r="I8" s="9"/>
      <c r="J8" s="158" t="s">
        <v>426</v>
      </c>
      <c r="K8" s="159"/>
      <c r="L8" s="186" t="s">
        <v>403</v>
      </c>
      <c r="M8" s="187"/>
      <c r="N8" s="63"/>
    </row>
    <row r="9" spans="5:14" ht="34.200000000000003" customHeight="1" x14ac:dyDescent="0.3">
      <c r="E9" s="65"/>
      <c r="F9" s="66"/>
      <c r="G9" s="69"/>
      <c r="H9" s="9"/>
      <c r="I9" s="70"/>
      <c r="J9" s="178" t="s">
        <v>427</v>
      </c>
      <c r="K9" s="179"/>
      <c r="L9" s="182">
        <v>45515</v>
      </c>
      <c r="M9" s="183"/>
      <c r="N9" s="63"/>
    </row>
    <row r="10" spans="5:14" ht="28.2" x14ac:dyDescent="0.3">
      <c r="E10" s="65"/>
      <c r="F10" s="66"/>
      <c r="G10" s="69"/>
      <c r="H10" s="9"/>
      <c r="I10" s="71"/>
      <c r="J10" s="180"/>
      <c r="K10" s="181"/>
      <c r="L10" s="184"/>
      <c r="M10" s="185"/>
      <c r="N10" s="63"/>
    </row>
    <row r="11" spans="5:14" ht="28.2" x14ac:dyDescent="0.3">
      <c r="E11" s="65"/>
      <c r="F11" s="66"/>
      <c r="G11" s="69"/>
      <c r="H11" s="9"/>
      <c r="I11" s="70"/>
      <c r="J11" s="62"/>
      <c r="K11" s="62"/>
      <c r="L11" s="62"/>
      <c r="M11" s="62"/>
      <c r="N11" s="63"/>
    </row>
    <row r="12" spans="5:14" x14ac:dyDescent="0.3">
      <c r="E12" s="72"/>
      <c r="F12" s="10"/>
      <c r="N12" s="73"/>
    </row>
    <row r="13" spans="5:14" ht="15.6" x14ac:dyDescent="0.3">
      <c r="E13" s="72"/>
      <c r="F13" s="10"/>
      <c r="G13" s="74"/>
      <c r="H13" s="75"/>
      <c r="I13" s="75"/>
      <c r="J13" s="76"/>
      <c r="K13" s="76"/>
      <c r="L13" s="77"/>
      <c r="N13" s="73"/>
    </row>
    <row r="14" spans="5:14" ht="15.6" x14ac:dyDescent="0.3">
      <c r="E14" s="78"/>
      <c r="G14" s="79"/>
      <c r="H14" s="75"/>
      <c r="I14" s="80"/>
      <c r="J14" s="80"/>
      <c r="K14" s="80"/>
      <c r="L14" s="81"/>
      <c r="N14" s="73"/>
    </row>
    <row r="15" spans="5:14" x14ac:dyDescent="0.3">
      <c r="E15" s="78"/>
      <c r="G15" s="82"/>
      <c r="K15" s="83"/>
      <c r="L15" s="83"/>
      <c r="N15" s="73"/>
    </row>
    <row r="16" spans="5:14" ht="15.6" x14ac:dyDescent="0.3">
      <c r="E16" s="78"/>
      <c r="G16" s="75"/>
      <c r="K16" s="75"/>
      <c r="N16" s="73"/>
    </row>
    <row r="17" spans="5:20" x14ac:dyDescent="0.3">
      <c r="E17" s="78"/>
      <c r="G17" s="84"/>
      <c r="K17" s="85"/>
      <c r="N17" s="73"/>
    </row>
    <row r="18" spans="5:20" ht="18" x14ac:dyDescent="0.35">
      <c r="E18" s="78"/>
      <c r="F18" s="103"/>
      <c r="G18" s="104"/>
      <c r="H18" s="105" t="s">
        <v>57</v>
      </c>
      <c r="I18" s="103"/>
      <c r="J18" s="103"/>
      <c r="K18" s="106"/>
      <c r="L18" s="105" t="s">
        <v>46</v>
      </c>
      <c r="M18" s="103"/>
      <c r="N18" s="73"/>
      <c r="P18" s="25"/>
      <c r="Q18" s="11"/>
    </row>
    <row r="19" spans="5:20" ht="23.4" x14ac:dyDescent="0.35">
      <c r="E19" s="78"/>
      <c r="F19" s="106"/>
      <c r="G19" s="107" t="s">
        <v>39</v>
      </c>
      <c r="H19" s="108" t="s">
        <v>436</v>
      </c>
      <c r="I19" s="103"/>
      <c r="J19" s="109"/>
      <c r="K19" s="107" t="s">
        <v>39</v>
      </c>
      <c r="L19" s="110" t="s">
        <v>435</v>
      </c>
      <c r="M19" s="103"/>
      <c r="N19" s="73"/>
      <c r="P19" s="25"/>
      <c r="Q19" s="153" t="s">
        <v>63</v>
      </c>
      <c r="R19" s="153"/>
      <c r="S19" s="153"/>
      <c r="T19" s="153"/>
    </row>
    <row r="20" spans="5:20" ht="23.4" x14ac:dyDescent="0.35">
      <c r="E20" s="86"/>
      <c r="F20" s="106"/>
      <c r="G20" s="107" t="s">
        <v>40</v>
      </c>
      <c r="H20" s="110" t="s">
        <v>128</v>
      </c>
      <c r="I20" s="103"/>
      <c r="J20" s="109"/>
      <c r="K20" s="107" t="s">
        <v>40</v>
      </c>
      <c r="L20" s="110" t="s">
        <v>100</v>
      </c>
      <c r="M20" s="103"/>
      <c r="N20" s="73"/>
      <c r="P20" s="25"/>
      <c r="Q20" s="100" t="s">
        <v>411</v>
      </c>
      <c r="R20" s="100" t="s">
        <v>50</v>
      </c>
      <c r="S20" s="156" t="s">
        <v>419</v>
      </c>
      <c r="T20" s="157"/>
    </row>
    <row r="21" spans="5:20" ht="24" customHeight="1" x14ac:dyDescent="0.35">
      <c r="E21" s="86"/>
      <c r="F21" s="106"/>
      <c r="G21" s="107" t="s">
        <v>41</v>
      </c>
      <c r="H21" s="110"/>
      <c r="I21" s="103"/>
      <c r="J21" s="109"/>
      <c r="K21" s="107" t="s">
        <v>41</v>
      </c>
      <c r="L21" s="110"/>
      <c r="M21" s="103"/>
      <c r="N21" s="73"/>
      <c r="P21" s="25"/>
      <c r="Q21" s="115" t="s">
        <v>373</v>
      </c>
      <c r="R21" s="115" t="s">
        <v>372</v>
      </c>
      <c r="S21" s="149" t="s">
        <v>376</v>
      </c>
      <c r="T21" s="150"/>
    </row>
    <row r="22" spans="5:20" ht="24" customHeight="1" x14ac:dyDescent="0.35">
      <c r="E22" s="86"/>
      <c r="F22" s="106"/>
      <c r="G22" s="106"/>
      <c r="H22" s="103"/>
      <c r="I22" s="103"/>
      <c r="J22" s="109"/>
      <c r="K22" s="109"/>
      <c r="L22" s="109"/>
      <c r="M22" s="103"/>
      <c r="N22" s="73"/>
      <c r="P22" s="25"/>
      <c r="Q22" s="102"/>
      <c r="R22" s="102"/>
      <c r="S22" s="154" t="s">
        <v>434</v>
      </c>
      <c r="T22" s="155"/>
    </row>
    <row r="23" spans="5:20" ht="16.8" customHeight="1" x14ac:dyDescent="0.35">
      <c r="E23" s="86"/>
      <c r="F23" s="106"/>
      <c r="G23" s="106"/>
      <c r="H23" s="103"/>
      <c r="I23" s="103"/>
      <c r="J23" s="109"/>
      <c r="K23" s="109"/>
      <c r="L23" s="109"/>
      <c r="M23" s="103"/>
      <c r="N23" s="73"/>
      <c r="P23" s="25"/>
      <c r="Q23" s="115"/>
      <c r="R23" s="115"/>
      <c r="S23" s="149"/>
      <c r="T23" s="150"/>
    </row>
    <row r="24" spans="5:20" ht="17.399999999999999" customHeight="1" x14ac:dyDescent="0.35">
      <c r="E24" s="72"/>
      <c r="F24" s="106"/>
      <c r="G24" s="106"/>
      <c r="H24" s="103"/>
      <c r="I24" s="103"/>
      <c r="J24" s="109"/>
      <c r="K24" s="109"/>
      <c r="L24" s="109"/>
      <c r="M24" s="103"/>
      <c r="N24" s="73"/>
      <c r="P24" s="25"/>
      <c r="Q24" s="102"/>
      <c r="R24" s="116"/>
      <c r="S24" s="151"/>
      <c r="T24" s="152"/>
    </row>
    <row r="25" spans="5:20" ht="19.8" customHeight="1" x14ac:dyDescent="0.35">
      <c r="E25" s="72"/>
      <c r="F25" s="104"/>
      <c r="G25" s="109"/>
      <c r="H25" s="106"/>
      <c r="I25" s="111"/>
      <c r="J25" s="111"/>
      <c r="K25" s="111"/>
      <c r="L25" s="111"/>
      <c r="M25" s="103"/>
      <c r="N25" s="73"/>
      <c r="P25" s="25"/>
      <c r="Q25" s="115"/>
      <c r="R25" s="115"/>
      <c r="S25" s="149"/>
      <c r="T25" s="150"/>
    </row>
    <row r="26" spans="5:20" ht="23.4" customHeight="1" x14ac:dyDescent="0.35">
      <c r="E26" s="72"/>
      <c r="F26" s="170" t="s">
        <v>60</v>
      </c>
      <c r="G26" s="171"/>
      <c r="H26" s="103"/>
      <c r="I26" s="170" t="s">
        <v>61</v>
      </c>
      <c r="J26" s="171"/>
      <c r="K26" s="103"/>
      <c r="L26" s="170" t="s">
        <v>62</v>
      </c>
      <c r="M26" s="171"/>
      <c r="N26" s="73"/>
      <c r="P26" s="25"/>
      <c r="Q26" s="102"/>
      <c r="R26" s="116"/>
      <c r="S26" s="151"/>
      <c r="T26" s="152"/>
    </row>
    <row r="27" spans="5:20" ht="22.8" customHeight="1" x14ac:dyDescent="0.35">
      <c r="E27" s="87"/>
      <c r="F27" s="172" t="s">
        <v>437</v>
      </c>
      <c r="G27" s="173"/>
      <c r="H27" s="103"/>
      <c r="I27" s="172" t="s">
        <v>438</v>
      </c>
      <c r="J27" s="173"/>
      <c r="K27" s="103"/>
      <c r="L27" s="172" t="s">
        <v>439</v>
      </c>
      <c r="M27" s="173"/>
      <c r="N27" s="73"/>
      <c r="P27" s="25"/>
      <c r="Q27" s="115"/>
      <c r="R27" s="115"/>
      <c r="S27" s="149"/>
      <c r="T27" s="150"/>
    </row>
    <row r="28" spans="5:20" ht="21" customHeight="1" x14ac:dyDescent="0.35">
      <c r="E28" s="72"/>
      <c r="F28" s="174"/>
      <c r="G28" s="175"/>
      <c r="H28" s="103"/>
      <c r="I28" s="174"/>
      <c r="J28" s="175"/>
      <c r="K28" s="103"/>
      <c r="L28" s="174"/>
      <c r="M28" s="175"/>
      <c r="N28" s="73"/>
      <c r="P28" s="25"/>
      <c r="Q28" s="102"/>
      <c r="R28" s="116"/>
      <c r="S28" s="151"/>
      <c r="T28" s="152"/>
    </row>
    <row r="29" spans="5:20" ht="21" customHeight="1" x14ac:dyDescent="0.35">
      <c r="E29" s="72"/>
      <c r="F29" s="174"/>
      <c r="G29" s="175"/>
      <c r="H29" s="103"/>
      <c r="I29" s="174"/>
      <c r="J29" s="175"/>
      <c r="K29" s="103"/>
      <c r="L29" s="174"/>
      <c r="M29" s="175"/>
      <c r="N29" s="73"/>
      <c r="P29" s="25"/>
      <c r="Q29" s="115"/>
      <c r="R29" s="115"/>
      <c r="S29" s="149"/>
      <c r="T29" s="150"/>
    </row>
    <row r="30" spans="5:20" ht="19.8" customHeight="1" x14ac:dyDescent="0.35">
      <c r="E30" s="72"/>
      <c r="F30" s="174"/>
      <c r="G30" s="175"/>
      <c r="H30" s="103"/>
      <c r="I30" s="174"/>
      <c r="J30" s="175"/>
      <c r="K30" s="103"/>
      <c r="L30" s="174"/>
      <c r="M30" s="175"/>
      <c r="N30" s="73"/>
      <c r="P30" s="25"/>
      <c r="Q30" s="102"/>
      <c r="R30" s="116"/>
      <c r="S30" s="151"/>
      <c r="T30" s="152"/>
    </row>
    <row r="31" spans="5:20" ht="16.8" customHeight="1" x14ac:dyDescent="0.35">
      <c r="E31" s="72"/>
      <c r="F31" s="176"/>
      <c r="G31" s="177"/>
      <c r="H31" s="103"/>
      <c r="I31" s="176"/>
      <c r="J31" s="177"/>
      <c r="K31" s="103"/>
      <c r="L31" s="176"/>
      <c r="M31" s="177"/>
      <c r="N31" s="73"/>
    </row>
    <row r="32" spans="5:20" ht="18" x14ac:dyDescent="0.35">
      <c r="E32" s="72"/>
      <c r="F32" s="103"/>
      <c r="G32" s="103"/>
      <c r="H32" s="103"/>
      <c r="I32" s="103"/>
      <c r="J32" s="103"/>
      <c r="K32" s="103"/>
      <c r="L32" s="103"/>
      <c r="M32" s="103"/>
      <c r="N32" s="73"/>
      <c r="P32" s="11"/>
      <c r="Q32" s="11"/>
    </row>
    <row r="33" spans="5:14" ht="18" x14ac:dyDescent="0.35">
      <c r="E33" s="72"/>
      <c r="F33" s="103"/>
      <c r="G33" s="103"/>
      <c r="H33" s="103"/>
      <c r="I33" s="103"/>
      <c r="J33" s="103"/>
      <c r="K33" s="103"/>
      <c r="L33" s="103"/>
      <c r="M33" s="103"/>
      <c r="N33" s="73"/>
    </row>
    <row r="34" spans="5:14" ht="18" x14ac:dyDescent="0.35">
      <c r="E34" s="72"/>
      <c r="F34" s="103"/>
      <c r="G34" s="103"/>
      <c r="H34" s="103"/>
      <c r="I34" s="103"/>
      <c r="J34" s="103"/>
      <c r="K34" s="103"/>
      <c r="L34" s="103"/>
      <c r="M34" s="103"/>
      <c r="N34" s="73"/>
    </row>
    <row r="35" spans="5:14" ht="18" x14ac:dyDescent="0.35">
      <c r="E35" s="78"/>
      <c r="F35" s="103"/>
      <c r="G35" s="103"/>
      <c r="H35" s="103"/>
      <c r="I35" s="103"/>
      <c r="J35" s="103"/>
      <c r="K35" s="103"/>
      <c r="L35" s="103"/>
      <c r="M35" s="103"/>
      <c r="N35" s="73"/>
    </row>
    <row r="36" spans="5:14" ht="18" x14ac:dyDescent="0.35">
      <c r="E36" s="78"/>
      <c r="F36" s="103"/>
      <c r="G36" s="103"/>
      <c r="H36" s="103"/>
      <c r="I36" s="103"/>
      <c r="J36" s="103"/>
      <c r="K36" s="103"/>
      <c r="L36" s="103"/>
      <c r="M36" s="103"/>
      <c r="N36" s="73"/>
    </row>
    <row r="37" spans="5:14" ht="18" x14ac:dyDescent="0.35">
      <c r="E37" s="72"/>
      <c r="F37" s="103"/>
      <c r="G37" s="103"/>
      <c r="H37" s="103"/>
      <c r="I37" s="103"/>
      <c r="J37" s="103"/>
      <c r="K37" s="103"/>
      <c r="L37" s="103"/>
      <c r="M37" s="103"/>
      <c r="N37" s="73"/>
    </row>
    <row r="38" spans="5:14" ht="18" x14ac:dyDescent="0.35">
      <c r="E38" s="72"/>
      <c r="F38" s="103"/>
      <c r="G38" s="103"/>
      <c r="H38" s="103"/>
      <c r="I38" s="103"/>
      <c r="J38" s="103"/>
      <c r="K38" s="103"/>
      <c r="L38" s="103"/>
      <c r="M38" s="103"/>
      <c r="N38" s="73"/>
    </row>
    <row r="39" spans="5:14" ht="18" x14ac:dyDescent="0.35">
      <c r="E39" s="72"/>
      <c r="F39" s="103"/>
      <c r="G39" s="103"/>
      <c r="H39" s="103"/>
      <c r="I39" s="103"/>
      <c r="J39" s="103"/>
      <c r="K39" s="103"/>
      <c r="L39" s="103"/>
      <c r="M39" s="103"/>
      <c r="N39" s="73"/>
    </row>
    <row r="40" spans="5:14" ht="18" x14ac:dyDescent="0.3">
      <c r="E40" s="72"/>
      <c r="F40" s="169" t="s">
        <v>42</v>
      </c>
      <c r="G40" s="169"/>
      <c r="H40" s="169"/>
      <c r="I40" s="169"/>
      <c r="J40" s="169"/>
      <c r="K40" s="169"/>
      <c r="L40" s="169"/>
      <c r="M40" s="169"/>
      <c r="N40" s="73"/>
    </row>
    <row r="41" spans="5:14" ht="18" x14ac:dyDescent="0.3">
      <c r="E41" s="72"/>
      <c r="F41" s="105" t="s">
        <v>47</v>
      </c>
      <c r="G41" s="105" t="s">
        <v>6</v>
      </c>
      <c r="H41" s="105" t="s">
        <v>5</v>
      </c>
      <c r="I41" s="105" t="s">
        <v>43</v>
      </c>
      <c r="J41" s="105" t="s">
        <v>44</v>
      </c>
      <c r="K41" s="166" t="s">
        <v>45</v>
      </c>
      <c r="L41" s="167"/>
      <c r="M41" s="168"/>
      <c r="N41" s="73"/>
    </row>
    <row r="42" spans="5:14" ht="18" x14ac:dyDescent="0.3">
      <c r="E42" s="72"/>
      <c r="F42" s="112">
        <v>1</v>
      </c>
      <c r="G42" s="113" t="s">
        <v>15</v>
      </c>
      <c r="H42" s="112"/>
      <c r="I42" s="112">
        <v>5</v>
      </c>
      <c r="J42" s="112" t="s">
        <v>433</v>
      </c>
      <c r="K42" s="160"/>
      <c r="L42" s="161"/>
      <c r="M42" s="162"/>
      <c r="N42" s="73"/>
    </row>
    <row r="43" spans="5:14" ht="18" x14ac:dyDescent="0.3">
      <c r="E43" s="72"/>
      <c r="F43" s="114">
        <v>2</v>
      </c>
      <c r="G43" s="114" t="s">
        <v>32</v>
      </c>
      <c r="H43" s="114" t="s">
        <v>32</v>
      </c>
      <c r="I43" s="114"/>
      <c r="J43" s="114"/>
      <c r="K43" s="163"/>
      <c r="L43" s="164"/>
      <c r="M43" s="165"/>
      <c r="N43" s="73"/>
    </row>
    <row r="44" spans="5:14" ht="18" x14ac:dyDescent="0.35">
      <c r="E44" s="72"/>
      <c r="F44" s="103"/>
      <c r="G44" s="103"/>
      <c r="H44" s="103"/>
      <c r="I44" s="103"/>
      <c r="J44" s="103"/>
      <c r="K44" s="103"/>
      <c r="L44" s="103"/>
      <c r="M44" s="103"/>
      <c r="N44" s="73"/>
    </row>
    <row r="45" spans="5:14" ht="18" x14ac:dyDescent="0.35">
      <c r="E45" s="72"/>
      <c r="F45" s="103"/>
      <c r="G45" s="103"/>
      <c r="H45" s="103"/>
      <c r="I45" s="103"/>
      <c r="J45" s="103"/>
      <c r="K45" s="103"/>
      <c r="L45" s="103"/>
      <c r="M45" s="103"/>
      <c r="N45" s="73"/>
    </row>
    <row r="46" spans="5:14" ht="18" x14ac:dyDescent="0.35">
      <c r="E46" s="72"/>
      <c r="F46" s="103"/>
      <c r="G46" s="103"/>
      <c r="H46" s="103"/>
      <c r="I46" s="103"/>
      <c r="J46" s="103"/>
      <c r="K46" s="103"/>
      <c r="L46" s="103"/>
      <c r="M46" s="103"/>
      <c r="N46" s="73"/>
    </row>
    <row r="47" spans="5:14" ht="18" x14ac:dyDescent="0.35">
      <c r="E47" s="72"/>
      <c r="F47" s="103"/>
      <c r="G47" s="103"/>
      <c r="H47" s="103"/>
      <c r="I47" s="103"/>
      <c r="J47" s="103"/>
      <c r="K47" s="103"/>
      <c r="L47" s="103"/>
      <c r="M47" s="103"/>
      <c r="N47" s="73"/>
    </row>
    <row r="48" spans="5:14" ht="18" x14ac:dyDescent="0.35">
      <c r="E48" s="72"/>
      <c r="F48" s="103"/>
      <c r="G48" s="103"/>
      <c r="H48" s="103"/>
      <c r="I48" s="103"/>
      <c r="J48" s="103"/>
      <c r="K48" s="103"/>
      <c r="L48" s="103"/>
      <c r="M48" s="103"/>
      <c r="N48" s="73"/>
    </row>
    <row r="49" spans="5:14" ht="18" x14ac:dyDescent="0.35">
      <c r="E49" s="72"/>
      <c r="F49" s="103"/>
      <c r="G49" s="103"/>
      <c r="H49" s="103"/>
      <c r="I49" s="103"/>
      <c r="J49" s="103"/>
      <c r="K49" s="103"/>
      <c r="L49" s="103"/>
      <c r="M49" s="103"/>
      <c r="N49" s="73"/>
    </row>
    <row r="50" spans="5:14" ht="18" x14ac:dyDescent="0.35">
      <c r="E50" s="72"/>
      <c r="F50" s="103"/>
      <c r="G50" s="103"/>
      <c r="H50" s="103"/>
      <c r="I50" s="103"/>
      <c r="J50" s="103"/>
      <c r="K50" s="103"/>
      <c r="L50" s="103"/>
      <c r="M50" s="103"/>
      <c r="N50" s="73"/>
    </row>
    <row r="51" spans="5:14" ht="18" x14ac:dyDescent="0.35">
      <c r="E51" s="72"/>
      <c r="F51" s="103"/>
      <c r="G51" s="103"/>
      <c r="H51" s="103"/>
      <c r="I51" s="103"/>
      <c r="J51" s="103"/>
      <c r="K51" s="103"/>
      <c r="L51" s="103"/>
      <c r="M51" s="103"/>
      <c r="N51" s="73"/>
    </row>
    <row r="52" spans="5:14" ht="18" x14ac:dyDescent="0.35">
      <c r="E52" s="72"/>
      <c r="F52" s="103"/>
      <c r="G52" s="103"/>
      <c r="H52" s="103"/>
      <c r="I52" s="103"/>
      <c r="J52" s="103"/>
      <c r="K52" s="103"/>
      <c r="L52" s="103"/>
      <c r="M52" s="103"/>
      <c r="N52" s="73"/>
    </row>
    <row r="53" spans="5:14" ht="37.799999999999997" customHeight="1" x14ac:dyDescent="0.35">
      <c r="E53" s="72"/>
      <c r="F53" s="103"/>
      <c r="G53" s="103"/>
      <c r="H53" s="103"/>
      <c r="I53" s="103"/>
      <c r="J53" s="103"/>
      <c r="K53" s="103"/>
      <c r="L53" s="103"/>
      <c r="M53" s="103"/>
      <c r="N53" s="73"/>
    </row>
    <row r="54" spans="5:14" ht="27.6" customHeight="1" x14ac:dyDescent="0.35">
      <c r="E54" s="72"/>
      <c r="F54" s="103"/>
      <c r="G54" s="103"/>
      <c r="H54" s="103"/>
      <c r="I54" s="103"/>
      <c r="J54" s="103"/>
      <c r="K54" s="103"/>
      <c r="L54" s="103"/>
      <c r="M54" s="103"/>
      <c r="N54" s="73"/>
    </row>
    <row r="55" spans="5:14" ht="18" x14ac:dyDescent="0.35">
      <c r="E55" s="72"/>
      <c r="F55" s="103"/>
      <c r="G55" s="103"/>
      <c r="H55" s="103"/>
      <c r="I55" s="103"/>
      <c r="J55" s="103"/>
      <c r="K55" s="103"/>
      <c r="L55" s="103"/>
      <c r="M55" s="103"/>
      <c r="N55" s="73"/>
    </row>
    <row r="56" spans="5:14" ht="18" x14ac:dyDescent="0.35">
      <c r="E56" s="72"/>
      <c r="F56" s="103"/>
      <c r="G56" s="103"/>
      <c r="H56" s="103"/>
      <c r="I56" s="103"/>
      <c r="J56" s="103"/>
      <c r="K56" s="103"/>
      <c r="L56" s="103"/>
      <c r="M56" s="103"/>
      <c r="N56" s="73"/>
    </row>
    <row r="57" spans="5:14" ht="22.8" customHeight="1" x14ac:dyDescent="0.35">
      <c r="E57" s="72"/>
      <c r="F57" s="103"/>
      <c r="G57" s="103"/>
      <c r="H57" s="103"/>
      <c r="I57" s="103"/>
      <c r="J57" s="103"/>
      <c r="K57" s="103"/>
      <c r="L57" s="103"/>
      <c r="M57" s="103"/>
      <c r="N57" s="73"/>
    </row>
    <row r="58" spans="5:14" ht="18" x14ac:dyDescent="0.35">
      <c r="E58" s="72"/>
      <c r="F58" s="103"/>
      <c r="G58" s="103"/>
      <c r="H58" s="103"/>
      <c r="I58" s="103"/>
      <c r="J58" s="103"/>
      <c r="K58" s="103"/>
      <c r="L58" s="103"/>
      <c r="M58" s="103"/>
      <c r="N58" s="73"/>
    </row>
    <row r="59" spans="5:14" ht="18" x14ac:dyDescent="0.35">
      <c r="E59" s="72"/>
      <c r="F59" s="103"/>
      <c r="G59" s="103"/>
      <c r="H59" s="103"/>
      <c r="I59" s="103"/>
      <c r="J59" s="103"/>
      <c r="K59" s="103"/>
      <c r="L59" s="103"/>
      <c r="M59" s="103"/>
      <c r="N59" s="73"/>
    </row>
    <row r="60" spans="5:14" ht="18" x14ac:dyDescent="0.35">
      <c r="E60" s="72"/>
      <c r="F60" s="103"/>
      <c r="G60" s="103"/>
      <c r="H60" s="103"/>
      <c r="I60" s="103"/>
      <c r="J60" s="103"/>
      <c r="K60" s="103"/>
      <c r="L60" s="103"/>
      <c r="M60" s="103"/>
      <c r="N60" s="73"/>
    </row>
    <row r="61" spans="5:14" ht="18" x14ac:dyDescent="0.35">
      <c r="E61" s="72"/>
      <c r="F61" s="103"/>
      <c r="G61" s="103"/>
      <c r="H61" s="103"/>
      <c r="I61" s="103"/>
      <c r="J61" s="103"/>
      <c r="K61" s="103"/>
      <c r="L61" s="103"/>
      <c r="M61" s="103"/>
      <c r="N61" s="73"/>
    </row>
    <row r="62" spans="5:14" ht="18" x14ac:dyDescent="0.35">
      <c r="E62" s="72"/>
      <c r="F62" s="103"/>
      <c r="G62" s="103"/>
      <c r="H62" s="103"/>
      <c r="I62" s="103"/>
      <c r="J62" s="103"/>
      <c r="K62" s="103"/>
      <c r="L62" s="103"/>
      <c r="M62" s="103"/>
      <c r="N62" s="73"/>
    </row>
    <row r="63" spans="5:14" ht="18" x14ac:dyDescent="0.35">
      <c r="E63" s="72"/>
      <c r="F63" s="103"/>
      <c r="G63" s="103"/>
      <c r="H63" s="103"/>
      <c r="I63" s="103"/>
      <c r="J63" s="103"/>
      <c r="K63" s="103"/>
      <c r="L63" s="103"/>
      <c r="M63" s="103"/>
      <c r="N63" s="73"/>
    </row>
    <row r="64" spans="5:14" ht="18" x14ac:dyDescent="0.35">
      <c r="E64" s="72"/>
      <c r="F64" s="103"/>
      <c r="G64" s="103"/>
      <c r="H64" s="103"/>
      <c r="I64" s="103"/>
      <c r="J64" s="103"/>
      <c r="K64" s="103"/>
      <c r="L64" s="103"/>
      <c r="M64" s="103"/>
      <c r="N64" s="73"/>
    </row>
    <row r="65" spans="1:14" ht="18" x14ac:dyDescent="0.35">
      <c r="E65" s="72"/>
      <c r="F65" s="103"/>
      <c r="G65" s="103"/>
      <c r="H65" s="103"/>
      <c r="I65" s="103"/>
      <c r="J65" s="103"/>
      <c r="K65" s="103"/>
      <c r="L65" s="103"/>
      <c r="M65" s="103"/>
      <c r="N65" s="73"/>
    </row>
    <row r="66" spans="1:14" ht="18" x14ac:dyDescent="0.35">
      <c r="E66" s="72"/>
      <c r="F66" s="103"/>
      <c r="G66" s="103"/>
      <c r="H66" s="103"/>
      <c r="I66" s="103"/>
      <c r="J66" s="103"/>
      <c r="K66" s="103"/>
      <c r="L66" s="103"/>
      <c r="M66" s="103"/>
      <c r="N66" s="73"/>
    </row>
    <row r="67" spans="1:14" ht="18" x14ac:dyDescent="0.35">
      <c r="E67" s="72"/>
      <c r="F67" s="103"/>
      <c r="G67" s="103"/>
      <c r="H67" s="103"/>
      <c r="I67" s="103"/>
      <c r="J67" s="103"/>
      <c r="K67" s="103"/>
      <c r="L67" s="103"/>
      <c r="M67" s="103"/>
      <c r="N67" s="73"/>
    </row>
    <row r="68" spans="1:14" ht="18" x14ac:dyDescent="0.35">
      <c r="E68" s="78"/>
      <c r="F68" s="103"/>
      <c r="G68" s="103"/>
      <c r="H68" s="103"/>
      <c r="I68" s="103"/>
      <c r="J68" s="103"/>
      <c r="K68" s="103"/>
      <c r="L68" s="103"/>
      <c r="M68" s="103"/>
      <c r="N68" s="73"/>
    </row>
    <row r="69" spans="1:14" ht="18" x14ac:dyDescent="0.35">
      <c r="E69" s="72"/>
      <c r="F69" s="103"/>
      <c r="G69" s="103"/>
      <c r="H69" s="103"/>
      <c r="I69" s="103"/>
      <c r="J69" s="103"/>
      <c r="K69" s="103"/>
      <c r="L69" s="103"/>
      <c r="M69" s="103"/>
      <c r="N69" s="73"/>
    </row>
    <row r="70" spans="1:14" ht="18" x14ac:dyDescent="0.35">
      <c r="E70" s="72"/>
      <c r="F70" s="103"/>
      <c r="G70" s="103"/>
      <c r="H70" s="103"/>
      <c r="I70" s="103"/>
      <c r="J70" s="103"/>
      <c r="K70" s="103"/>
      <c r="L70" s="103"/>
      <c r="M70" s="103"/>
      <c r="N70" s="73"/>
    </row>
    <row r="71" spans="1:14" ht="18" x14ac:dyDescent="0.35">
      <c r="A71" s="10"/>
      <c r="E71" s="72"/>
      <c r="F71" s="103"/>
      <c r="G71" s="103"/>
      <c r="H71" s="103"/>
      <c r="I71" s="103"/>
      <c r="J71" s="103"/>
      <c r="K71" s="103"/>
      <c r="L71" s="103"/>
      <c r="M71" s="103"/>
      <c r="N71" s="73"/>
    </row>
    <row r="72" spans="1:14" ht="18" x14ac:dyDescent="0.35">
      <c r="A72" s="10"/>
      <c r="E72" s="72"/>
      <c r="F72" s="103"/>
      <c r="G72" s="103"/>
      <c r="H72" s="103"/>
      <c r="I72" s="103"/>
      <c r="J72" s="103"/>
      <c r="K72" s="103"/>
      <c r="L72" s="103"/>
      <c r="M72" s="103"/>
      <c r="N72" s="73"/>
    </row>
    <row r="73" spans="1:14" ht="28.8" thickBot="1" x14ac:dyDescent="0.35">
      <c r="A73" s="10"/>
      <c r="E73" s="51"/>
      <c r="F73" s="52"/>
      <c r="G73" s="52"/>
      <c r="H73" s="52"/>
      <c r="I73" s="52"/>
      <c r="J73" s="52"/>
      <c r="K73" s="52"/>
      <c r="L73" s="52"/>
      <c r="M73" s="88"/>
      <c r="N73" s="89"/>
    </row>
    <row r="74" spans="1:14" x14ac:dyDescent="0.3">
      <c r="A74" s="10"/>
      <c r="J74" s="5"/>
      <c r="K74" s="5"/>
    </row>
    <row r="75" spans="1:14" x14ac:dyDescent="0.3">
      <c r="A75" s="10"/>
    </row>
    <row r="76" spans="1:14" x14ac:dyDescent="0.3">
      <c r="A76" s="10"/>
    </row>
    <row r="77" spans="1:14" x14ac:dyDescent="0.3">
      <c r="A77" s="10"/>
    </row>
    <row r="78" spans="1:14" x14ac:dyDescent="0.3">
      <c r="A78" s="10"/>
    </row>
    <row r="79" spans="1:14" x14ac:dyDescent="0.3">
      <c r="A79" s="10"/>
    </row>
    <row r="80" spans="1:14" x14ac:dyDescent="0.3">
      <c r="A80" s="10"/>
    </row>
    <row r="83" spans="8:8" x14ac:dyDescent="0.3">
      <c r="H83" s="11"/>
    </row>
    <row r="84" spans="8:8" x14ac:dyDescent="0.3">
      <c r="H84" s="11"/>
    </row>
    <row r="85" spans="8:8" x14ac:dyDescent="0.3">
      <c r="H85" s="11"/>
    </row>
    <row r="86" spans="8:8" x14ac:dyDescent="0.3">
      <c r="H86" s="11"/>
    </row>
    <row r="87" spans="8:8" x14ac:dyDescent="0.3">
      <c r="H87" s="12"/>
    </row>
    <row r="88" spans="8:8" ht="15.6" x14ac:dyDescent="0.3">
      <c r="H88" s="13"/>
    </row>
    <row r="89" spans="8:8" ht="15.6" x14ac:dyDescent="0.3">
      <c r="H89" s="13"/>
    </row>
    <row r="90" spans="8:8" x14ac:dyDescent="0.3">
      <c r="H90" s="14"/>
    </row>
    <row r="91" spans="8:8" x14ac:dyDescent="0.3">
      <c r="H91" s="15"/>
    </row>
    <row r="92" spans="8:8" x14ac:dyDescent="0.3">
      <c r="H92" s="16"/>
    </row>
    <row r="93" spans="8:8" x14ac:dyDescent="0.3">
      <c r="H93" s="10"/>
    </row>
  </sheetData>
  <mergeCells count="33">
    <mergeCell ref="J6:K6"/>
    <mergeCell ref="L6:M6"/>
    <mergeCell ref="E4:F4"/>
    <mergeCell ref="E5:F5"/>
    <mergeCell ref="E6:F6"/>
    <mergeCell ref="J7:K7"/>
    <mergeCell ref="J8:K8"/>
    <mergeCell ref="K42:M42"/>
    <mergeCell ref="K43:M43"/>
    <mergeCell ref="K41:M41"/>
    <mergeCell ref="F40:M40"/>
    <mergeCell ref="I26:J26"/>
    <mergeCell ref="L26:M26"/>
    <mergeCell ref="F26:G26"/>
    <mergeCell ref="F27:G31"/>
    <mergeCell ref="I27:J31"/>
    <mergeCell ref="L27:M31"/>
    <mergeCell ref="J9:K10"/>
    <mergeCell ref="L9:M10"/>
    <mergeCell ref="L8:M8"/>
    <mergeCell ref="L7:M7"/>
    <mergeCell ref="Q19:T19"/>
    <mergeCell ref="S21:T21"/>
    <mergeCell ref="S22:T22"/>
    <mergeCell ref="S20:T20"/>
    <mergeCell ref="S23:T23"/>
    <mergeCell ref="S29:T29"/>
    <mergeCell ref="S30:T30"/>
    <mergeCell ref="S24:T24"/>
    <mergeCell ref="S25:T25"/>
    <mergeCell ref="S26:T26"/>
    <mergeCell ref="S27:T27"/>
    <mergeCell ref="S28:T28"/>
  </mergeCells>
  <dataValidations count="8">
    <dataValidation type="list" allowBlank="1" showInputMessage="1" showErrorMessage="1" sqref="D16 H19 L19" xr:uid="{9E87BF9D-65BE-47A2-9604-62F2B16268A3}">
      <formula1>"StationDeService,ClientB2B,MagasinGPL,DépôtGPL,Fournisseur,Prestataire"</formula1>
    </dataValidation>
    <dataValidation type="list" allowBlank="1" showInputMessage="1" showErrorMessage="1" sqref="C55:C56 G42 G43" xr:uid="{53CC2898-5F3B-40D9-BAD1-B1C7F4B16655}">
      <formula1>"Bouteille 6KG,Bouteille 12.5KG,Bouteille 35KG,Casier 6KG,Casier 12.5KG,Casier 35KG,Robinet,Boîte à clapet,Ecrou,Joint d'écrou,Socle,Ance"</formula1>
    </dataValidation>
    <dataValidation type="list" allowBlank="1" showInputMessage="1" showErrorMessage="1" sqref="L7" xr:uid="{088ED4E5-ABEB-4209-A7C6-801E5C4A86BF}">
      <formula1>"Transfert d'emballage,Expédition d'emballage,Livraison produit,Réception produit,Réception d'emballage,Réception d'accesoire,Expédition d'accesoire,Transfert d'accesoire"</formula1>
    </dataValidation>
    <dataValidation type="list" allowBlank="1" showInputMessage="1" showErrorMessage="1" sqref="L6" xr:uid="{F9B41EAB-0265-42B7-962C-32E190F81E87}">
      <formula1>"FORM 405-,FORM 410-,FORM 415-,FA,TRF"</formula1>
    </dataValidation>
    <dataValidation type="list" allowBlank="1" showInputMessage="1" showErrorMessage="1" sqref="H42" xr:uid="{D56796F2-243F-4FE4-B351-BCD6EC341741}">
      <formula1>"Bouteille pleine,Bouteille vide en service,Bouteille vide en consignation,Bouteille fuyarde,Bouteille à ré éprouver,Bouteille à entretenir,Bouteille à détruire"</formula1>
    </dataValidation>
    <dataValidation type="list" allowBlank="1" showInputMessage="1" showErrorMessage="1" sqref="L20" xr:uid="{342F96FA-9E69-4BF1-932A-CE23A19A09CF}">
      <formula1>Magasin</formula1>
    </dataValidation>
    <dataValidation type="list" allowBlank="1" showInputMessage="1" showErrorMessage="1" sqref="H20" xr:uid="{56236309-3201-4BA4-A9DC-CA6921FC5DC8}">
      <formula1>StationSRV</formula1>
    </dataValidation>
    <dataValidation type="list" allowBlank="1" showInputMessage="1" showErrorMessage="1" sqref="H43" xr:uid="{A49D12E9-D93D-4E6E-B8D4-D6DD05979268}">
      <formula1>"Ance"</formula1>
    </dataValidation>
  </dataValidations>
  <hyperlinks>
    <hyperlink ref="S22" r:id="rId1" xr:uid="{85774D52-FF60-411E-BB10-5B207A63CDD4}"/>
  </hyperlinks>
  <pageMargins left="0.7" right="0.7" top="0.75" bottom="0.75" header="0.3" footer="0.3"/>
  <pageSetup paperSize="9" scale="32" orientation="portrait" horizontalDpi="200" verticalDpi="20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0351E8-7308-441A-9DF3-F8A5442894F5}">
          <x14:formula1>
            <xm:f>Data!$M$2:$M$16</xm:f>
          </x14:formula1>
          <xm:sqref>Q21 Q22 Q23 Q24 Q25 Q26 Q27 Q28 Q29 Q30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E90A3-28FE-418E-AC91-D80A5F9F33D9}">
  <sheetPr codeName="Feuil3"/>
  <dimension ref="A1:J27"/>
  <sheetViews>
    <sheetView zoomScale="85" zoomScaleNormal="85" workbookViewId="0">
      <selection sqref="A1:J1"/>
    </sheetView>
  </sheetViews>
  <sheetFormatPr baseColWidth="10" defaultColWidth="11.5546875" defaultRowHeight="14.4" x14ac:dyDescent="0.3"/>
  <cols>
    <col min="1" max="1" width="34.109375" customWidth="1"/>
    <col min="2" max="2" width="32.33203125" customWidth="1"/>
    <col min="3" max="3" width="24.77734375" customWidth="1"/>
    <col min="4" max="4" width="21.5546875" customWidth="1"/>
    <col min="5" max="5" width="25.21875" customWidth="1"/>
    <col min="6" max="6" width="18" customWidth="1"/>
    <col min="7" max="7" width="22.44140625" customWidth="1"/>
    <col min="8" max="8" width="40" customWidth="1"/>
    <col min="9" max="9" width="17.6640625" customWidth="1"/>
    <col min="10" max="10" width="24" customWidth="1"/>
  </cols>
  <sheetData>
    <row r="1" spans="1:10" x14ac:dyDescent="0.3">
      <c r="A1" s="37" t="s">
        <v>73</v>
      </c>
      <c r="B1" s="37" t="s">
        <v>74</v>
      </c>
      <c r="C1" s="37" t="s">
        <v>75</v>
      </c>
      <c r="D1" s="37" t="s">
        <v>5</v>
      </c>
      <c r="E1" s="37" t="s">
        <v>6</v>
      </c>
      <c r="F1" s="37" t="s">
        <v>76</v>
      </c>
      <c r="G1" s="37" t="s">
        <v>66</v>
      </c>
      <c r="H1" s="37" t="s">
        <v>77</v>
      </c>
      <c r="I1" s="37" t="s">
        <v>44</v>
      </c>
      <c r="J1" s="37" t="s">
        <v>78</v>
      </c>
    </row>
    <row r="2" spans="1:10" x14ac:dyDescent="0.3">
      <c r="A2" s="1">
        <v>45508</v>
      </c>
      <c r="B2" s="38">
        <v>0.59375</v>
      </c>
      <c r="C2" t="s">
        <v>79</v>
      </c>
      <c r="D2" t="s">
        <v>7</v>
      </c>
      <c r="E2" t="s">
        <v>8</v>
      </c>
      <c r="F2">
        <v>5</v>
      </c>
      <c r="G2" t="s">
        <v>67</v>
      </c>
      <c r="H2" s="101" t="s">
        <v>80</v>
      </c>
      <c r="I2" t="s">
        <v>65</v>
      </c>
      <c r="J2" s="39">
        <v>45420.450312499997</v>
      </c>
    </row>
    <row r="3" spans="1:10" x14ac:dyDescent="0.3">
      <c r="A3" s="1">
        <v>45511</v>
      </c>
      <c r="B3" s="38">
        <v>0.59652777777777777</v>
      </c>
      <c r="C3" t="s">
        <v>79</v>
      </c>
      <c r="D3" t="s">
        <v>30</v>
      </c>
      <c r="E3" t="s">
        <v>30</v>
      </c>
      <c r="F3">
        <v>5</v>
      </c>
      <c r="G3" t="s">
        <v>303</v>
      </c>
      <c r="H3" s="101" t="s">
        <v>80</v>
      </c>
      <c r="I3" t="s">
        <v>65</v>
      </c>
      <c r="J3" s="39">
        <v>45511.952002314814</v>
      </c>
    </row>
    <row r="4" spans="1:10" x14ac:dyDescent="0.3">
      <c r="A4" s="1">
        <v>45511</v>
      </c>
      <c r="B4" s="38">
        <v>0.95138888888888884</v>
      </c>
      <c r="C4" t="s">
        <v>79</v>
      </c>
      <c r="D4" t="s">
        <v>32</v>
      </c>
      <c r="E4" t="s">
        <v>32</v>
      </c>
      <c r="F4">
        <v>2</v>
      </c>
      <c r="G4" t="s">
        <v>303</v>
      </c>
      <c r="H4" s="101" t="s">
        <v>80</v>
      </c>
      <c r="I4" t="s">
        <v>65</v>
      </c>
      <c r="J4" s="39">
        <v>45511.952777777777</v>
      </c>
    </row>
    <row r="5" spans="1:10" x14ac:dyDescent="0.3">
      <c r="A5" s="1">
        <v>45511</v>
      </c>
      <c r="B5" s="38">
        <v>0.95277777777777783</v>
      </c>
      <c r="C5" t="s">
        <v>79</v>
      </c>
      <c r="D5" t="s">
        <v>32</v>
      </c>
      <c r="E5" t="s">
        <v>32</v>
      </c>
      <c r="F5">
        <v>5</v>
      </c>
      <c r="G5" t="s">
        <v>303</v>
      </c>
      <c r="H5" s="101" t="s">
        <v>80</v>
      </c>
      <c r="I5" t="s">
        <v>65</v>
      </c>
      <c r="J5" s="39">
        <v>45511.953333333331</v>
      </c>
    </row>
    <row r="6" spans="1:10" x14ac:dyDescent="0.3">
      <c r="A6" s="1">
        <v>45511</v>
      </c>
      <c r="B6" s="38">
        <v>0.95277777777777783</v>
      </c>
      <c r="C6" t="s">
        <v>79</v>
      </c>
      <c r="D6" t="s">
        <v>7</v>
      </c>
      <c r="E6" t="s">
        <v>8</v>
      </c>
      <c r="F6">
        <v>22</v>
      </c>
      <c r="G6" t="s">
        <v>303</v>
      </c>
      <c r="H6" s="101" t="s">
        <v>80</v>
      </c>
      <c r="I6" t="s">
        <v>65</v>
      </c>
      <c r="J6" s="39">
        <v>45513.970243055555</v>
      </c>
    </row>
    <row r="7" spans="1:10" x14ac:dyDescent="0.3">
      <c r="A7" s="1">
        <v>45513</v>
      </c>
      <c r="B7" s="38">
        <v>0.97013888888888899</v>
      </c>
      <c r="C7" t="s">
        <v>79</v>
      </c>
      <c r="D7" t="s">
        <v>9</v>
      </c>
      <c r="E7" t="s">
        <v>16</v>
      </c>
      <c r="F7">
        <v>12</v>
      </c>
      <c r="G7" t="s">
        <v>67</v>
      </c>
      <c r="H7" s="101" t="s">
        <v>80</v>
      </c>
      <c r="I7" t="s">
        <v>65</v>
      </c>
      <c r="J7" s="39">
        <v>45513.970891203702</v>
      </c>
    </row>
    <row r="8" spans="1:10" x14ac:dyDescent="0.3">
      <c r="A8" s="1">
        <v>45513</v>
      </c>
      <c r="B8" s="38">
        <v>0.97222222222222221</v>
      </c>
      <c r="C8" t="s">
        <v>79</v>
      </c>
      <c r="D8" t="s">
        <v>32</v>
      </c>
      <c r="E8" t="s">
        <v>32</v>
      </c>
      <c r="F8">
        <v>22</v>
      </c>
      <c r="G8" t="s">
        <v>303</v>
      </c>
      <c r="H8" s="101" t="s">
        <v>80</v>
      </c>
      <c r="I8" t="s">
        <v>65</v>
      </c>
      <c r="J8" s="39">
        <v>45513.97283564815</v>
      </c>
    </row>
    <row r="9" spans="1:10" x14ac:dyDescent="0.3">
      <c r="A9" s="1">
        <v>44844</v>
      </c>
      <c r="B9" s="38">
        <v>0.97291666666666665</v>
      </c>
      <c r="C9" t="s">
        <v>79</v>
      </c>
      <c r="D9" t="s">
        <v>14</v>
      </c>
      <c r="E9" t="s">
        <v>8</v>
      </c>
      <c r="F9">
        <v>5</v>
      </c>
      <c r="G9" t="s">
        <v>67</v>
      </c>
      <c r="H9" s="101" t="s">
        <v>80</v>
      </c>
      <c r="I9" t="s">
        <v>65</v>
      </c>
      <c r="J9" s="39">
        <v>45573.507118055553</v>
      </c>
    </row>
    <row r="10" spans="1:10" ht="57.6" x14ac:dyDescent="0.3">
      <c r="A10" s="1">
        <v>45511</v>
      </c>
      <c r="B10" s="38">
        <v>0.50694444444444442</v>
      </c>
      <c r="C10" t="s">
        <v>79</v>
      </c>
      <c r="D10" t="s">
        <v>12</v>
      </c>
      <c r="E10" t="s">
        <v>15</v>
      </c>
      <c r="F10">
        <v>222</v>
      </c>
      <c r="G10" t="s">
        <v>67</v>
      </c>
      <c r="H10" s="101" t="s">
        <v>415</v>
      </c>
      <c r="I10" t="s">
        <v>65</v>
      </c>
      <c r="J10" s="39">
        <v>45514.716400462959</v>
      </c>
    </row>
    <row r="11" spans="1:10" ht="57.6" x14ac:dyDescent="0.3">
      <c r="A11" s="1">
        <v>45511</v>
      </c>
      <c r="B11" s="38">
        <v>0.50694444444444442</v>
      </c>
      <c r="C11" t="s">
        <v>79</v>
      </c>
      <c r="D11" t="s">
        <v>32</v>
      </c>
      <c r="E11" t="s">
        <v>32</v>
      </c>
      <c r="F11">
        <v>3</v>
      </c>
      <c r="G11" t="s">
        <v>67</v>
      </c>
      <c r="H11" s="101" t="s">
        <v>415</v>
      </c>
      <c r="I11" t="s">
        <v>65</v>
      </c>
      <c r="J11" s="39">
        <v>45514.716400462959</v>
      </c>
    </row>
    <row r="12" spans="1:10" ht="57.6" x14ac:dyDescent="0.3">
      <c r="A12" s="1">
        <v>45511</v>
      </c>
      <c r="B12" s="38">
        <v>0.50694444444444442</v>
      </c>
      <c r="C12" t="s">
        <v>79</v>
      </c>
      <c r="D12" t="s">
        <v>12</v>
      </c>
      <c r="E12" t="s">
        <v>15</v>
      </c>
      <c r="F12">
        <v>222</v>
      </c>
      <c r="G12" t="s">
        <v>67</v>
      </c>
      <c r="H12" s="101" t="s">
        <v>415</v>
      </c>
      <c r="I12" t="s">
        <v>65</v>
      </c>
      <c r="J12" s="39">
        <v>45514.716527777775</v>
      </c>
    </row>
    <row r="13" spans="1:10" ht="57.6" x14ac:dyDescent="0.3">
      <c r="A13" s="1">
        <v>45511</v>
      </c>
      <c r="B13" s="38">
        <v>0.50694444444444442</v>
      </c>
      <c r="C13" t="s">
        <v>79</v>
      </c>
      <c r="D13" t="s">
        <v>32</v>
      </c>
      <c r="E13" t="s">
        <v>32</v>
      </c>
      <c r="F13">
        <v>3</v>
      </c>
      <c r="G13" t="s">
        <v>67</v>
      </c>
      <c r="H13" s="101" t="s">
        <v>415</v>
      </c>
      <c r="I13" t="s">
        <v>65</v>
      </c>
      <c r="J13" s="39">
        <v>45514.716527777775</v>
      </c>
    </row>
    <row r="14" spans="1:10" ht="57.6" x14ac:dyDescent="0.3">
      <c r="A14" s="1">
        <v>45514</v>
      </c>
      <c r="B14" s="38">
        <v>0.71736111111111101</v>
      </c>
      <c r="C14" t="s">
        <v>79</v>
      </c>
      <c r="D14" t="s">
        <v>32</v>
      </c>
      <c r="E14" t="s">
        <v>32</v>
      </c>
      <c r="F14">
        <v>222</v>
      </c>
      <c r="G14" t="s">
        <v>67</v>
      </c>
      <c r="H14" s="101" t="s">
        <v>415</v>
      </c>
      <c r="I14" t="s">
        <v>65</v>
      </c>
      <c r="J14" s="39">
        <v>45514.717951388891</v>
      </c>
    </row>
    <row r="15" spans="1:10" x14ac:dyDescent="0.3">
      <c r="A15" s="1">
        <v>45514</v>
      </c>
      <c r="B15" s="38">
        <v>0.72222222222222221</v>
      </c>
      <c r="C15" t="s">
        <v>79</v>
      </c>
      <c r="D15" t="s">
        <v>32</v>
      </c>
      <c r="E15" t="s">
        <v>32</v>
      </c>
      <c r="F15">
        <v>4</v>
      </c>
      <c r="G15" t="s">
        <v>303</v>
      </c>
      <c r="H15" s="101" t="s">
        <v>416</v>
      </c>
      <c r="I15" t="s">
        <v>65</v>
      </c>
      <c r="J15" s="39">
        <v>45514.726006944446</v>
      </c>
    </row>
    <row r="16" spans="1:10" x14ac:dyDescent="0.3">
      <c r="A16" s="1">
        <v>45514</v>
      </c>
      <c r="B16" s="38">
        <v>0.72569444444444453</v>
      </c>
      <c r="C16" t="s">
        <v>79</v>
      </c>
      <c r="D16" t="s">
        <v>32</v>
      </c>
      <c r="E16" t="s">
        <v>32</v>
      </c>
      <c r="F16">
        <v>2</v>
      </c>
      <c r="G16" t="s">
        <v>303</v>
      </c>
      <c r="H16" s="101" t="s">
        <v>417</v>
      </c>
      <c r="I16" t="s">
        <v>65</v>
      </c>
      <c r="J16" s="39">
        <v>45515.636192129627</v>
      </c>
    </row>
    <row r="17" spans="1:10" x14ac:dyDescent="0.3">
      <c r="A17" s="1">
        <v>45515</v>
      </c>
      <c r="B17" s="38">
        <v>0.63611111111111118</v>
      </c>
      <c r="C17" t="s">
        <v>79</v>
      </c>
      <c r="D17" t="s">
        <v>32</v>
      </c>
      <c r="E17" t="s">
        <v>32</v>
      </c>
      <c r="F17">
        <v>2</v>
      </c>
      <c r="G17" t="s">
        <v>67</v>
      </c>
      <c r="H17" s="101"/>
      <c r="I17" t="s">
        <v>65</v>
      </c>
      <c r="J17" s="39">
        <v>45515.636840277781</v>
      </c>
    </row>
    <row r="18" spans="1:10" x14ac:dyDescent="0.3">
      <c r="A18" s="1">
        <v>45515</v>
      </c>
      <c r="B18" s="38">
        <v>0.6381944444444444</v>
      </c>
      <c r="C18" t="s">
        <v>79</v>
      </c>
      <c r="D18" t="s">
        <v>32</v>
      </c>
      <c r="E18" t="s">
        <v>32</v>
      </c>
      <c r="F18">
        <v>5</v>
      </c>
      <c r="G18" t="s">
        <v>303</v>
      </c>
      <c r="H18" s="101" t="s">
        <v>334</v>
      </c>
      <c r="I18" t="s">
        <v>65</v>
      </c>
      <c r="J18" s="39">
        <v>45515.638599537036</v>
      </c>
    </row>
    <row r="19" spans="1:10" ht="28.8" x14ac:dyDescent="0.3">
      <c r="A19" s="1">
        <v>45515</v>
      </c>
      <c r="B19" s="38">
        <v>0.6381944444444444</v>
      </c>
      <c r="C19" t="s">
        <v>79</v>
      </c>
      <c r="D19" t="s">
        <v>29</v>
      </c>
      <c r="E19" t="s">
        <v>29</v>
      </c>
      <c r="F19">
        <v>33</v>
      </c>
      <c r="G19" t="s">
        <v>303</v>
      </c>
      <c r="H19" s="101" t="s">
        <v>418</v>
      </c>
      <c r="I19" t="s">
        <v>65</v>
      </c>
      <c r="J19" s="39">
        <v>45515.63925925926</v>
      </c>
    </row>
    <row r="20" spans="1:10" x14ac:dyDescent="0.3">
      <c r="A20" s="1">
        <v>45515</v>
      </c>
      <c r="B20" s="38">
        <v>0.64236111111111105</v>
      </c>
      <c r="C20" t="s">
        <v>79</v>
      </c>
      <c r="D20" t="s">
        <v>32</v>
      </c>
      <c r="E20" t="s">
        <v>32</v>
      </c>
      <c r="F20">
        <v>22</v>
      </c>
      <c r="G20" t="s">
        <v>303</v>
      </c>
      <c r="H20" s="101" t="s">
        <v>416</v>
      </c>
      <c r="I20" t="s">
        <v>65</v>
      </c>
      <c r="J20" s="39">
        <v>45515.64303240741</v>
      </c>
    </row>
    <row r="21" spans="1:10" x14ac:dyDescent="0.3">
      <c r="A21" s="1">
        <v>45515</v>
      </c>
      <c r="B21" s="38">
        <v>0.6430555555555556</v>
      </c>
      <c r="C21" t="s">
        <v>79</v>
      </c>
      <c r="D21" t="s">
        <v>7</v>
      </c>
      <c r="E21" t="s">
        <v>8</v>
      </c>
      <c r="F21">
        <v>3</v>
      </c>
      <c r="G21" t="s">
        <v>303</v>
      </c>
      <c r="H21" s="101" t="s">
        <v>338</v>
      </c>
      <c r="I21" t="s">
        <v>65</v>
      </c>
      <c r="J21" s="39">
        <v>45515.644062500003</v>
      </c>
    </row>
    <row r="22" spans="1:10" x14ac:dyDescent="0.3">
      <c r="A22" s="1">
        <v>45515</v>
      </c>
      <c r="B22" s="38">
        <v>0.6430555555555556</v>
      </c>
      <c r="C22" t="s">
        <v>79</v>
      </c>
      <c r="D22" t="s">
        <v>23</v>
      </c>
      <c r="E22" t="s">
        <v>24</v>
      </c>
      <c r="F22">
        <v>6</v>
      </c>
      <c r="G22" t="s">
        <v>303</v>
      </c>
      <c r="H22" s="101" t="s">
        <v>338</v>
      </c>
      <c r="I22" t="s">
        <v>65</v>
      </c>
      <c r="J22" s="39">
        <v>45515.644062500003</v>
      </c>
    </row>
    <row r="23" spans="1:10" x14ac:dyDescent="0.3">
      <c r="A23" s="1">
        <v>45515</v>
      </c>
      <c r="B23" s="38">
        <v>0.6430555555555556</v>
      </c>
      <c r="C23" t="s">
        <v>79</v>
      </c>
      <c r="D23" t="s">
        <v>26</v>
      </c>
      <c r="E23" t="s">
        <v>27</v>
      </c>
      <c r="F23">
        <v>33</v>
      </c>
      <c r="G23" t="s">
        <v>303</v>
      </c>
      <c r="H23" s="101" t="s">
        <v>338</v>
      </c>
      <c r="I23" t="s">
        <v>65</v>
      </c>
      <c r="J23" s="39">
        <v>45515.644062500003</v>
      </c>
    </row>
    <row r="24" spans="1:10" x14ac:dyDescent="0.3">
      <c r="A24" s="1">
        <v>45515</v>
      </c>
      <c r="B24" s="38">
        <v>0.6430555555555556</v>
      </c>
      <c r="C24" t="s">
        <v>79</v>
      </c>
      <c r="D24" t="s">
        <v>32</v>
      </c>
      <c r="E24" t="s">
        <v>32</v>
      </c>
      <c r="F24">
        <v>22</v>
      </c>
      <c r="G24" t="s">
        <v>303</v>
      </c>
      <c r="H24" s="101" t="s">
        <v>338</v>
      </c>
      <c r="I24" t="s">
        <v>65</v>
      </c>
      <c r="J24" s="39">
        <v>45515.644062500003</v>
      </c>
    </row>
    <row r="25" spans="1:10" ht="28.8" x14ac:dyDescent="0.3">
      <c r="A25" s="1">
        <v>45515</v>
      </c>
      <c r="B25" s="38">
        <v>0.64374999999999993</v>
      </c>
      <c r="C25" t="s">
        <v>79</v>
      </c>
      <c r="D25" t="s">
        <v>32</v>
      </c>
      <c r="E25" t="s">
        <v>32</v>
      </c>
      <c r="F25">
        <v>4</v>
      </c>
      <c r="G25" t="s">
        <v>303</v>
      </c>
      <c r="H25" s="101" t="s">
        <v>421</v>
      </c>
      <c r="I25" t="s">
        <v>65</v>
      </c>
      <c r="J25" s="39">
        <v>45515.644513888888</v>
      </c>
    </row>
    <row r="26" spans="1:10" x14ac:dyDescent="0.3">
      <c r="A26" s="1">
        <v>44926</v>
      </c>
      <c r="B26" s="38">
        <v>0.41041666666666665</v>
      </c>
      <c r="C26" t="s">
        <v>430</v>
      </c>
      <c r="D26" t="s">
        <v>10</v>
      </c>
      <c r="E26" t="s">
        <v>8</v>
      </c>
      <c r="F26">
        <v>4</v>
      </c>
      <c r="G26" t="s">
        <v>67</v>
      </c>
      <c r="H26" s="101" t="s">
        <v>431</v>
      </c>
      <c r="I26" t="s">
        <v>65</v>
      </c>
      <c r="J26" s="39" t="s">
        <v>432</v>
      </c>
    </row>
    <row r="27" spans="1:10" x14ac:dyDescent="0.3">
      <c r="A27" s="1">
        <v>45509</v>
      </c>
      <c r="B27" s="38">
        <v>0.41666666666666669</v>
      </c>
      <c r="C27" t="s">
        <v>430</v>
      </c>
      <c r="D27" t="s">
        <v>7</v>
      </c>
      <c r="E27" t="s">
        <v>8</v>
      </c>
      <c r="F27">
        <v>5258</v>
      </c>
      <c r="G27" t="s">
        <v>67</v>
      </c>
      <c r="H27" s="101" t="s">
        <v>345</v>
      </c>
      <c r="I27" t="s">
        <v>65</v>
      </c>
      <c r="J27" s="39">
        <v>45550.641863425924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D3AC-649E-43D8-9BE1-39BEB6B3C623}">
  <sheetPr codeName="Feuil5">
    <pageSetUpPr fitToPage="1"/>
  </sheetPr>
  <dimension ref="A1:P18"/>
  <sheetViews>
    <sheetView topLeftCell="G1" zoomScale="85" zoomScaleNormal="85" workbookViewId="0">
      <selection activeCell="N26" sqref="N26"/>
    </sheetView>
  </sheetViews>
  <sheetFormatPr baseColWidth="10" defaultColWidth="11.5546875" defaultRowHeight="14.4" x14ac:dyDescent="0.3"/>
  <cols>
    <col min="1" max="1" width="11.33203125" customWidth="1"/>
    <col min="2" max="2" width="21.88671875" customWidth="1"/>
    <col min="3" max="3" width="21.109375" customWidth="1"/>
    <col min="4" max="4" width="18.109375" customWidth="1"/>
    <col min="5" max="5" width="54" customWidth="1"/>
    <col min="6" max="6" width="47" customWidth="1"/>
    <col min="7" max="7" width="11.33203125" customWidth="1"/>
    <col min="8" max="8" width="25.21875" customWidth="1"/>
    <col min="9" max="9" width="18.88671875" customWidth="1"/>
    <col min="10" max="11" width="12.33203125" customWidth="1"/>
    <col min="12" max="12" width="15" customWidth="1"/>
    <col min="13" max="13" width="22.33203125" customWidth="1"/>
    <col min="14" max="14" width="21.88671875" customWidth="1"/>
    <col min="15" max="15" width="16.44140625" customWidth="1"/>
    <col min="16" max="16" width="72.44140625" customWidth="1"/>
  </cols>
  <sheetData>
    <row r="1" spans="1:16" ht="33.6" customHeight="1" x14ac:dyDescent="0.3">
      <c r="A1" t="s">
        <v>48</v>
      </c>
      <c r="B1" t="s">
        <v>55</v>
      </c>
      <c r="C1" t="s">
        <v>54</v>
      </c>
      <c r="D1" t="s">
        <v>56</v>
      </c>
      <c r="E1" t="s">
        <v>57</v>
      </c>
      <c r="F1" t="s">
        <v>46</v>
      </c>
      <c r="G1" t="s">
        <v>47</v>
      </c>
      <c r="H1" t="s">
        <v>5</v>
      </c>
      <c r="I1" t="s">
        <v>6</v>
      </c>
      <c r="J1" t="s">
        <v>43</v>
      </c>
      <c r="K1" t="s">
        <v>44</v>
      </c>
      <c r="L1" t="s">
        <v>45</v>
      </c>
      <c r="M1" t="s">
        <v>49</v>
      </c>
      <c r="N1" t="s">
        <v>58</v>
      </c>
      <c r="O1" t="s">
        <v>59</v>
      </c>
      <c r="P1" t="s">
        <v>312</v>
      </c>
    </row>
    <row r="2" spans="1:16" x14ac:dyDescent="0.3">
      <c r="A2" s="91" t="s">
        <v>305</v>
      </c>
      <c r="B2" s="91" t="s">
        <v>81</v>
      </c>
      <c r="C2" s="91" t="s">
        <v>51</v>
      </c>
      <c r="D2" s="95">
        <v>45509</v>
      </c>
      <c r="E2" s="91" t="s">
        <v>95</v>
      </c>
      <c r="F2" s="91" t="s">
        <v>306</v>
      </c>
      <c r="G2" s="91">
        <v>1</v>
      </c>
      <c r="H2" s="91" t="s">
        <v>26</v>
      </c>
      <c r="I2" s="91" t="s">
        <v>22</v>
      </c>
      <c r="J2" s="91">
        <v>4</v>
      </c>
      <c r="K2" s="91" t="s">
        <v>308</v>
      </c>
      <c r="L2" s="91" t="s">
        <v>309</v>
      </c>
      <c r="M2" s="91" t="s">
        <v>307</v>
      </c>
      <c r="N2" s="91" t="s">
        <v>307</v>
      </c>
      <c r="O2" s="91" t="s">
        <v>307</v>
      </c>
      <c r="P2" s="91" t="s">
        <v>311</v>
      </c>
    </row>
    <row r="3" spans="1:16" x14ac:dyDescent="0.3">
      <c r="A3" s="91" t="s">
        <v>305</v>
      </c>
      <c r="B3" s="91" t="s">
        <v>81</v>
      </c>
      <c r="C3" s="91" t="s">
        <v>51</v>
      </c>
      <c r="D3" s="95">
        <v>45509</v>
      </c>
      <c r="E3" s="91" t="s">
        <v>95</v>
      </c>
      <c r="F3" s="91" t="s">
        <v>306</v>
      </c>
      <c r="G3" s="91">
        <v>2</v>
      </c>
      <c r="H3" s="91" t="s">
        <v>31</v>
      </c>
      <c r="I3" s="91" t="s">
        <v>31</v>
      </c>
      <c r="J3" s="91">
        <v>3</v>
      </c>
      <c r="K3" s="91" t="s">
        <v>64</v>
      </c>
      <c r="L3" s="91" t="s">
        <v>310</v>
      </c>
      <c r="M3" s="91" t="s">
        <v>307</v>
      </c>
      <c r="N3" s="91" t="s">
        <v>307</v>
      </c>
      <c r="O3" s="91" t="s">
        <v>307</v>
      </c>
      <c r="P3" s="91" t="s">
        <v>311</v>
      </c>
    </row>
    <row r="4" spans="1:16" x14ac:dyDescent="0.3">
      <c r="A4" s="91" t="s">
        <v>305</v>
      </c>
      <c r="B4" s="91" t="s">
        <v>81</v>
      </c>
      <c r="C4" s="91" t="s">
        <v>51</v>
      </c>
      <c r="D4" s="95">
        <v>45509</v>
      </c>
      <c r="E4" s="91" t="s">
        <v>95</v>
      </c>
      <c r="F4" s="91" t="s">
        <v>306</v>
      </c>
      <c r="G4" s="91">
        <v>1</v>
      </c>
      <c r="H4" s="91" t="s">
        <v>26</v>
      </c>
      <c r="I4" s="91" t="s">
        <v>22</v>
      </c>
      <c r="J4" s="91">
        <v>4</v>
      </c>
      <c r="K4" s="91" t="s">
        <v>308</v>
      </c>
      <c r="L4" s="91" t="s">
        <v>309</v>
      </c>
      <c r="M4" s="91" t="s">
        <v>313</v>
      </c>
      <c r="N4" s="91" t="s">
        <v>307</v>
      </c>
      <c r="O4" s="91" t="s">
        <v>307</v>
      </c>
      <c r="P4" s="91" t="s">
        <v>311</v>
      </c>
    </row>
    <row r="5" spans="1:16" x14ac:dyDescent="0.3">
      <c r="A5" s="91" t="s">
        <v>305</v>
      </c>
      <c r="B5" s="91" t="s">
        <v>81</v>
      </c>
      <c r="C5" s="91" t="s">
        <v>51</v>
      </c>
      <c r="D5" s="95">
        <v>45509</v>
      </c>
      <c r="E5" s="91" t="s">
        <v>95</v>
      </c>
      <c r="F5" s="91" t="s">
        <v>306</v>
      </c>
      <c r="G5" s="91">
        <v>2</v>
      </c>
      <c r="H5" s="91" t="s">
        <v>31</v>
      </c>
      <c r="I5" s="91" t="s">
        <v>31</v>
      </c>
      <c r="J5" s="91">
        <v>3</v>
      </c>
      <c r="K5" s="91" t="s">
        <v>64</v>
      </c>
      <c r="L5" s="91" t="s">
        <v>310</v>
      </c>
      <c r="M5" s="91" t="s">
        <v>313</v>
      </c>
      <c r="N5" s="91" t="s">
        <v>307</v>
      </c>
      <c r="O5" s="91" t="s">
        <v>307</v>
      </c>
      <c r="P5" s="91" t="s">
        <v>311</v>
      </c>
    </row>
    <row r="6" spans="1:16" x14ac:dyDescent="0.3">
      <c r="A6" s="91" t="s">
        <v>314</v>
      </c>
      <c r="B6" s="91" t="s">
        <v>316</v>
      </c>
      <c r="C6" s="91" t="s">
        <v>315</v>
      </c>
      <c r="D6" s="95">
        <v>45511</v>
      </c>
      <c r="E6" s="91" t="s">
        <v>118</v>
      </c>
      <c r="F6" s="91" t="s">
        <v>317</v>
      </c>
      <c r="G6" s="91">
        <v>1</v>
      </c>
      <c r="H6" s="91" t="s">
        <v>28</v>
      </c>
      <c r="I6" s="91" t="s">
        <v>31</v>
      </c>
      <c r="J6" s="91">
        <v>33</v>
      </c>
      <c r="K6" s="91" t="s">
        <v>307</v>
      </c>
      <c r="L6" s="91" t="s">
        <v>306</v>
      </c>
      <c r="M6" s="91" t="s">
        <v>314</v>
      </c>
      <c r="N6" s="91" t="s">
        <v>308</v>
      </c>
      <c r="O6" s="91" t="s">
        <v>318</v>
      </c>
      <c r="P6" s="91" t="s">
        <v>320</v>
      </c>
    </row>
    <row r="7" spans="1:16" x14ac:dyDescent="0.3">
      <c r="A7" s="91" t="s">
        <v>314</v>
      </c>
      <c r="B7" s="91" t="s">
        <v>316</v>
      </c>
      <c r="C7" s="91" t="s">
        <v>315</v>
      </c>
      <c r="D7" s="95">
        <v>45511</v>
      </c>
      <c r="E7" s="91" t="s">
        <v>118</v>
      </c>
      <c r="F7" s="91" t="s">
        <v>317</v>
      </c>
      <c r="G7" s="91">
        <v>2</v>
      </c>
      <c r="H7" s="91" t="s">
        <v>31</v>
      </c>
      <c r="I7" s="91" t="s">
        <v>18</v>
      </c>
      <c r="J7" s="91">
        <v>55</v>
      </c>
      <c r="K7" s="91" t="s">
        <v>64</v>
      </c>
      <c r="L7" s="91" t="s">
        <v>319</v>
      </c>
      <c r="M7" s="91" t="s">
        <v>314</v>
      </c>
      <c r="N7" s="91" t="s">
        <v>308</v>
      </c>
      <c r="O7" s="91" t="s">
        <v>318</v>
      </c>
      <c r="P7" s="91" t="s">
        <v>320</v>
      </c>
    </row>
    <row r="8" spans="1:16" ht="43.2" x14ac:dyDescent="0.3">
      <c r="A8" s="91" t="s">
        <v>48</v>
      </c>
      <c r="B8" s="91" t="s">
        <v>399</v>
      </c>
      <c r="C8" s="91" t="s">
        <v>398</v>
      </c>
      <c r="D8" s="95">
        <v>45511</v>
      </c>
      <c r="E8" s="91" t="s">
        <v>104</v>
      </c>
      <c r="F8" s="91" t="s">
        <v>92</v>
      </c>
      <c r="G8" s="91">
        <v>1</v>
      </c>
      <c r="H8" s="91" t="s">
        <v>23</v>
      </c>
      <c r="I8" s="91" t="s">
        <v>24</v>
      </c>
      <c r="J8" s="91">
        <v>4</v>
      </c>
      <c r="K8" s="91" t="s">
        <v>316</v>
      </c>
      <c r="L8" s="91" t="s">
        <v>400</v>
      </c>
      <c r="M8" s="91" t="s">
        <v>314</v>
      </c>
      <c r="N8" s="91" t="s">
        <v>315</v>
      </c>
      <c r="O8" s="91" t="s">
        <v>316</v>
      </c>
      <c r="P8" s="96" t="s">
        <v>401</v>
      </c>
    </row>
    <row r="9" spans="1:16" ht="43.2" x14ac:dyDescent="0.3">
      <c r="A9" s="91" t="s">
        <v>48</v>
      </c>
      <c r="B9" s="91" t="s">
        <v>399</v>
      </c>
      <c r="C9" s="91" t="s">
        <v>398</v>
      </c>
      <c r="D9" s="95">
        <v>45511</v>
      </c>
      <c r="E9" s="91" t="s">
        <v>104</v>
      </c>
      <c r="F9" s="91" t="s">
        <v>92</v>
      </c>
      <c r="G9" s="91">
        <v>2</v>
      </c>
      <c r="H9" s="91" t="s">
        <v>31</v>
      </c>
      <c r="I9" s="91" t="s">
        <v>31</v>
      </c>
      <c r="J9" s="91">
        <v>5</v>
      </c>
      <c r="K9" s="91" t="s">
        <v>64</v>
      </c>
      <c r="L9" s="91" t="s">
        <v>45</v>
      </c>
      <c r="M9" s="91" t="s">
        <v>314</v>
      </c>
      <c r="N9" s="91" t="s">
        <v>315</v>
      </c>
      <c r="O9" s="91" t="s">
        <v>316</v>
      </c>
      <c r="P9" s="96" t="s">
        <v>401</v>
      </c>
    </row>
    <row r="10" spans="1:16" x14ac:dyDescent="0.3">
      <c r="A10" s="91" t="s">
        <v>402</v>
      </c>
      <c r="B10" s="91" t="s">
        <v>403</v>
      </c>
      <c r="C10" s="91" t="s">
        <v>52</v>
      </c>
      <c r="D10" s="95">
        <v>45513</v>
      </c>
      <c r="E10" s="91" t="s">
        <v>91</v>
      </c>
      <c r="F10" s="91" t="s">
        <v>100</v>
      </c>
      <c r="G10" s="91">
        <v>1</v>
      </c>
      <c r="H10" s="91" t="s">
        <v>405</v>
      </c>
      <c r="I10" s="91" t="s">
        <v>8</v>
      </c>
      <c r="J10" s="91">
        <v>4</v>
      </c>
      <c r="K10" s="91" t="s">
        <v>307</v>
      </c>
      <c r="L10" s="91" t="s">
        <v>307</v>
      </c>
      <c r="M10" s="91" t="s">
        <v>404</v>
      </c>
      <c r="N10" s="91" t="s">
        <v>314</v>
      </c>
      <c r="O10" s="91" t="s">
        <v>308</v>
      </c>
      <c r="P10" s="91" t="s">
        <v>338</v>
      </c>
    </row>
    <row r="11" spans="1:16" x14ac:dyDescent="0.3">
      <c r="A11" s="91" t="s">
        <v>402</v>
      </c>
      <c r="B11" s="91" t="s">
        <v>403</v>
      </c>
      <c r="C11" s="91" t="s">
        <v>52</v>
      </c>
      <c r="D11" s="95">
        <v>45513</v>
      </c>
      <c r="E11" s="91" t="s">
        <v>91</v>
      </c>
      <c r="F11" s="91" t="s">
        <v>100</v>
      </c>
      <c r="G11" s="91">
        <v>2</v>
      </c>
      <c r="H11" s="91" t="s">
        <v>29</v>
      </c>
      <c r="I11" s="91" t="s">
        <v>29</v>
      </c>
      <c r="J11" s="91">
        <v>5</v>
      </c>
      <c r="K11" s="91" t="s">
        <v>314</v>
      </c>
      <c r="L11" s="91" t="s">
        <v>64</v>
      </c>
      <c r="M11" s="91" t="s">
        <v>404</v>
      </c>
      <c r="N11" s="91" t="s">
        <v>314</v>
      </c>
      <c r="O11" s="91" t="s">
        <v>308</v>
      </c>
      <c r="P11" s="91" t="s">
        <v>338</v>
      </c>
    </row>
    <row r="12" spans="1:16" x14ac:dyDescent="0.3">
      <c r="A12" s="91" t="s">
        <v>408</v>
      </c>
      <c r="B12" s="91" t="s">
        <v>410</v>
      </c>
      <c r="C12" s="91" t="s">
        <v>409</v>
      </c>
      <c r="D12" s="95">
        <v>45514</v>
      </c>
      <c r="E12" s="91" t="s">
        <v>96</v>
      </c>
      <c r="F12" s="91" t="s">
        <v>102</v>
      </c>
      <c r="G12" s="91">
        <v>1</v>
      </c>
      <c r="H12" s="91" t="s">
        <v>405</v>
      </c>
      <c r="I12" s="91" t="s">
        <v>15</v>
      </c>
      <c r="J12" s="91">
        <v>6</v>
      </c>
      <c r="K12" s="91">
        <v>5</v>
      </c>
      <c r="L12" s="91"/>
      <c r="M12" s="91" t="s">
        <v>314</v>
      </c>
      <c r="N12" s="91" t="s">
        <v>315</v>
      </c>
      <c r="O12" s="91" t="s">
        <v>316</v>
      </c>
      <c r="P12" s="91"/>
    </row>
    <row r="13" spans="1:16" x14ac:dyDescent="0.3">
      <c r="A13" s="91" t="s">
        <v>408</v>
      </c>
      <c r="B13" s="91" t="s">
        <v>410</v>
      </c>
      <c r="C13" s="91" t="s">
        <v>409</v>
      </c>
      <c r="D13" s="95">
        <v>45514</v>
      </c>
      <c r="E13" s="91" t="s">
        <v>96</v>
      </c>
      <c r="F13" s="91" t="s">
        <v>102</v>
      </c>
      <c r="G13" s="91">
        <v>1</v>
      </c>
      <c r="H13" s="91" t="s">
        <v>405</v>
      </c>
      <c r="I13" s="91" t="s">
        <v>15</v>
      </c>
      <c r="J13" s="91">
        <v>6</v>
      </c>
      <c r="K13" s="91">
        <v>5</v>
      </c>
      <c r="L13" s="91"/>
      <c r="M13" s="91" t="s">
        <v>314</v>
      </c>
      <c r="N13" s="91" t="s">
        <v>315</v>
      </c>
      <c r="O13" s="91" t="s">
        <v>316</v>
      </c>
      <c r="P13" s="91"/>
    </row>
    <row r="14" spans="1:16" x14ac:dyDescent="0.3">
      <c r="A14" s="91" t="s">
        <v>412</v>
      </c>
      <c r="B14" s="91" t="s">
        <v>403</v>
      </c>
      <c r="C14" s="91" t="s">
        <v>52</v>
      </c>
      <c r="D14" s="95">
        <v>45514</v>
      </c>
      <c r="E14" s="91" t="s">
        <v>96</v>
      </c>
      <c r="F14" s="91" t="s">
        <v>95</v>
      </c>
      <c r="G14" s="91">
        <v>1</v>
      </c>
      <c r="H14" s="91" t="s">
        <v>17</v>
      </c>
      <c r="I14" s="91" t="s">
        <v>18</v>
      </c>
      <c r="J14" s="91">
        <v>5</v>
      </c>
      <c r="K14" s="91" t="s">
        <v>404</v>
      </c>
      <c r="L14" s="91" t="s">
        <v>305</v>
      </c>
      <c r="M14" s="91" t="s">
        <v>314</v>
      </c>
      <c r="N14" s="91" t="s">
        <v>315</v>
      </c>
      <c r="O14" s="91" t="s">
        <v>316</v>
      </c>
      <c r="P14" s="91" t="s">
        <v>334</v>
      </c>
    </row>
    <row r="15" spans="1:16" x14ac:dyDescent="0.3">
      <c r="A15" s="91" t="s">
        <v>48</v>
      </c>
      <c r="B15" s="91" t="s">
        <v>414</v>
      </c>
      <c r="C15" s="91" t="s">
        <v>53</v>
      </c>
      <c r="D15" s="95">
        <v>45514</v>
      </c>
      <c r="E15" s="91" t="s">
        <v>96</v>
      </c>
      <c r="F15" s="91" t="s">
        <v>94</v>
      </c>
      <c r="G15" s="91">
        <v>1</v>
      </c>
      <c r="H15" s="91" t="s">
        <v>10</v>
      </c>
      <c r="I15" s="91" t="s">
        <v>16</v>
      </c>
      <c r="J15" s="91">
        <v>5</v>
      </c>
      <c r="K15" s="91" t="s">
        <v>404</v>
      </c>
      <c r="L15" s="91" t="s">
        <v>413</v>
      </c>
      <c r="M15" s="91" t="s">
        <v>314</v>
      </c>
      <c r="N15" s="91" t="s">
        <v>315</v>
      </c>
      <c r="O15" s="91" t="s">
        <v>316</v>
      </c>
      <c r="P15" s="91" t="s">
        <v>338</v>
      </c>
    </row>
    <row r="16" spans="1:16" x14ac:dyDescent="0.3">
      <c r="A16" s="91" t="s">
        <v>402</v>
      </c>
      <c r="B16" s="91" t="s">
        <v>423</v>
      </c>
      <c r="C16" s="91" t="s">
        <v>422</v>
      </c>
      <c r="D16" s="95">
        <v>45514</v>
      </c>
      <c r="E16" s="91" t="s">
        <v>112</v>
      </c>
      <c r="F16" s="91" t="s">
        <v>120</v>
      </c>
      <c r="G16" s="91">
        <v>1</v>
      </c>
      <c r="H16" s="91" t="s">
        <v>405</v>
      </c>
      <c r="I16" s="91" t="s">
        <v>16</v>
      </c>
      <c r="J16" s="91">
        <v>3</v>
      </c>
      <c r="K16" s="91" t="s">
        <v>307</v>
      </c>
      <c r="L16" s="91" t="s">
        <v>424</v>
      </c>
      <c r="M16" s="91" t="s">
        <v>314</v>
      </c>
      <c r="N16" s="91" t="s">
        <v>315</v>
      </c>
      <c r="O16" s="91" t="s">
        <v>316</v>
      </c>
      <c r="P16" s="91" t="s">
        <v>425</v>
      </c>
    </row>
    <row r="17" spans="1:16" x14ac:dyDescent="0.3">
      <c r="A17" s="91" t="s">
        <v>412</v>
      </c>
      <c r="B17" s="91" t="s">
        <v>410</v>
      </c>
      <c r="C17" s="91" t="s">
        <v>409</v>
      </c>
      <c r="D17" s="95">
        <v>45515</v>
      </c>
      <c r="E17" s="91" t="s">
        <v>112</v>
      </c>
      <c r="F17" s="91" t="s">
        <v>109</v>
      </c>
      <c r="G17" s="91">
        <v>1</v>
      </c>
      <c r="H17" s="91" t="s">
        <v>10</v>
      </c>
      <c r="I17" s="91" t="s">
        <v>16</v>
      </c>
      <c r="J17" s="91">
        <v>5</v>
      </c>
      <c r="K17" s="91" t="s">
        <v>428</v>
      </c>
      <c r="L17" s="91"/>
      <c r="M17" s="91" t="s">
        <v>314</v>
      </c>
      <c r="N17" s="91" t="s">
        <v>315</v>
      </c>
      <c r="O17" s="91" t="s">
        <v>316</v>
      </c>
      <c r="P17" s="91" t="s">
        <v>429</v>
      </c>
    </row>
    <row r="18" spans="1:16" x14ac:dyDescent="0.3">
      <c r="A18" s="91" t="s">
        <v>412</v>
      </c>
      <c r="B18" s="91" t="s">
        <v>410</v>
      </c>
      <c r="C18" s="91" t="s">
        <v>409</v>
      </c>
      <c r="D18" s="95">
        <v>45515</v>
      </c>
      <c r="E18" s="91" t="s">
        <v>112</v>
      </c>
      <c r="F18" s="91" t="s">
        <v>109</v>
      </c>
      <c r="G18" s="91">
        <v>2</v>
      </c>
      <c r="H18" s="91" t="s">
        <v>31</v>
      </c>
      <c r="I18" s="91" t="s">
        <v>31</v>
      </c>
      <c r="J18" s="91">
        <v>10</v>
      </c>
      <c r="K18" s="91" t="s">
        <v>428</v>
      </c>
      <c r="L18" s="91"/>
      <c r="M18" s="91" t="s">
        <v>314</v>
      </c>
      <c r="N18" s="91" t="s">
        <v>315</v>
      </c>
      <c r="O18" s="91" t="s">
        <v>316</v>
      </c>
      <c r="P18" s="91" t="s">
        <v>429</v>
      </c>
    </row>
  </sheetData>
  <pageMargins left="0.7" right="0.7" top="0.75" bottom="0.75" header="0.3" footer="0.3"/>
  <pageSetup paperSize="9" scale="21" orientation="portrait" horizontalDpi="200" verticalDpi="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2D624-66ED-49E6-9DB6-26AF77BDF953}">
  <sheetPr codeName="Feuil7"/>
  <dimension ref="A1:R113"/>
  <sheetViews>
    <sheetView topLeftCell="K1" workbookViewId="0">
      <selection activeCell="R2" sqref="R2"/>
    </sheetView>
  </sheetViews>
  <sheetFormatPr baseColWidth="10" defaultColWidth="11.5546875" defaultRowHeight="14.4" x14ac:dyDescent="0.3"/>
  <cols>
    <col min="1" max="1" width="31.6640625" customWidth="1"/>
    <col min="2" max="2" width="20.88671875" customWidth="1"/>
    <col min="3" max="3" width="35.44140625" customWidth="1"/>
    <col min="4" max="4" width="24.88671875" customWidth="1"/>
    <col min="5" max="5" width="40.6640625" customWidth="1"/>
    <col min="7" max="7" width="23.77734375" customWidth="1"/>
    <col min="9" max="9" width="17.109375" customWidth="1"/>
    <col min="11" max="11" width="28" customWidth="1"/>
    <col min="13" max="13" width="30.21875" style="91" customWidth="1"/>
    <col min="14" max="14" width="18.5546875" style="91" customWidth="1"/>
    <col min="15" max="15" width="27.88671875" style="91" customWidth="1"/>
    <col min="16" max="16" width="34.88671875" style="91" customWidth="1"/>
    <col min="17" max="17" width="18.109375" style="91" customWidth="1"/>
    <col min="18" max="18" width="31.88671875" style="91" customWidth="1"/>
  </cols>
  <sheetData>
    <row r="1" spans="1:18" ht="15" thickBot="1" x14ac:dyDescent="0.35">
      <c r="A1" s="40" t="s">
        <v>82</v>
      </c>
      <c r="C1" s="40" t="s">
        <v>83</v>
      </c>
      <c r="E1" s="40" t="s">
        <v>84</v>
      </c>
      <c r="G1" s="40" t="s">
        <v>85</v>
      </c>
      <c r="I1" s="40" t="s">
        <v>86</v>
      </c>
      <c r="K1" s="40" t="s">
        <v>87</v>
      </c>
      <c r="M1" t="s">
        <v>321</v>
      </c>
      <c r="N1" t="s">
        <v>322</v>
      </c>
      <c r="O1" t="s">
        <v>50</v>
      </c>
      <c r="P1" t="s">
        <v>323</v>
      </c>
      <c r="Q1" t="s">
        <v>324</v>
      </c>
      <c r="R1" t="s">
        <v>325</v>
      </c>
    </row>
    <row r="2" spans="1:18" x14ac:dyDescent="0.3">
      <c r="A2" s="41" t="s">
        <v>88</v>
      </c>
      <c r="C2" s="41" t="s">
        <v>89</v>
      </c>
      <c r="E2" s="41" t="s">
        <v>90</v>
      </c>
      <c r="G2" s="41" t="s">
        <v>91</v>
      </c>
      <c r="I2" s="41" t="s">
        <v>92</v>
      </c>
      <c r="K2" s="41" t="s">
        <v>93</v>
      </c>
      <c r="M2" s="91" t="s">
        <v>326</v>
      </c>
      <c r="N2" s="91" t="s">
        <v>327</v>
      </c>
      <c r="O2" s="91" t="s">
        <v>128</v>
      </c>
      <c r="P2" s="117" t="s">
        <v>328</v>
      </c>
      <c r="Q2" s="91" t="s">
        <v>329</v>
      </c>
      <c r="R2" s="92" t="s">
        <v>385</v>
      </c>
    </row>
    <row r="3" spans="1:18" x14ac:dyDescent="0.3">
      <c r="A3" s="41" t="s">
        <v>94</v>
      </c>
      <c r="C3" s="41" t="s">
        <v>95</v>
      </c>
      <c r="E3" s="41" t="s">
        <v>96</v>
      </c>
      <c r="G3" s="41" t="s">
        <v>97</v>
      </c>
      <c r="I3" s="41" t="s">
        <v>98</v>
      </c>
      <c r="K3" s="41" t="s">
        <v>99</v>
      </c>
      <c r="M3" s="91" t="s">
        <v>330</v>
      </c>
      <c r="N3" s="91" t="s">
        <v>331</v>
      </c>
      <c r="O3" s="91" t="s">
        <v>332</v>
      </c>
      <c r="P3" s="91" t="s">
        <v>333</v>
      </c>
      <c r="Q3" s="91" t="s">
        <v>329</v>
      </c>
      <c r="R3" s="92" t="s">
        <v>386</v>
      </c>
    </row>
    <row r="4" spans="1:18" x14ac:dyDescent="0.3">
      <c r="A4" s="41" t="s">
        <v>100</v>
      </c>
      <c r="C4" s="41" t="s">
        <v>101</v>
      </c>
      <c r="E4" s="41" t="s">
        <v>102</v>
      </c>
      <c r="G4" s="41" t="s">
        <v>103</v>
      </c>
      <c r="I4" s="41" t="s">
        <v>104</v>
      </c>
      <c r="K4" s="41" t="s">
        <v>105</v>
      </c>
      <c r="M4" s="91" t="s">
        <v>334</v>
      </c>
      <c r="N4" s="91" t="s">
        <v>335</v>
      </c>
      <c r="O4" s="91" t="s">
        <v>336</v>
      </c>
      <c r="P4" s="91" t="s">
        <v>337</v>
      </c>
      <c r="Q4" s="91" t="s">
        <v>329</v>
      </c>
      <c r="R4" s="92" t="s">
        <v>387</v>
      </c>
    </row>
    <row r="5" spans="1:18" x14ac:dyDescent="0.3">
      <c r="A5" s="41" t="s">
        <v>106</v>
      </c>
      <c r="C5" s="41" t="s">
        <v>107</v>
      </c>
      <c r="E5" s="41" t="s">
        <v>108</v>
      </c>
      <c r="G5" s="41" t="s">
        <v>109</v>
      </c>
      <c r="I5" s="41" t="s">
        <v>110</v>
      </c>
      <c r="K5" s="41" t="s">
        <v>111</v>
      </c>
      <c r="M5" s="91" t="s">
        <v>338</v>
      </c>
      <c r="N5" s="91" t="s">
        <v>339</v>
      </c>
      <c r="O5" s="91" t="s">
        <v>139</v>
      </c>
      <c r="P5" s="91" t="s">
        <v>340</v>
      </c>
      <c r="Q5" s="91" t="s">
        <v>329</v>
      </c>
      <c r="R5" s="92" t="s">
        <v>388</v>
      </c>
    </row>
    <row r="6" spans="1:18" x14ac:dyDescent="0.3">
      <c r="A6" s="41" t="s">
        <v>112</v>
      </c>
      <c r="C6" s="41" t="s">
        <v>113</v>
      </c>
      <c r="E6" s="41" t="s">
        <v>114</v>
      </c>
      <c r="G6" s="41" t="s">
        <v>115</v>
      </c>
      <c r="K6" s="41" t="s">
        <v>116</v>
      </c>
      <c r="M6" s="91" t="s">
        <v>341</v>
      </c>
      <c r="N6" s="91" t="s">
        <v>342</v>
      </c>
      <c r="O6" s="91" t="s">
        <v>343</v>
      </c>
      <c r="P6" s="91" t="s">
        <v>344</v>
      </c>
      <c r="Q6" s="91" t="s">
        <v>329</v>
      </c>
      <c r="R6" s="92" t="s">
        <v>389</v>
      </c>
    </row>
    <row r="7" spans="1:18" x14ac:dyDescent="0.3">
      <c r="A7" s="41" t="s">
        <v>117</v>
      </c>
      <c r="C7" s="41" t="s">
        <v>118</v>
      </c>
      <c r="E7" s="41" t="s">
        <v>119</v>
      </c>
      <c r="G7" s="41" t="s">
        <v>120</v>
      </c>
      <c r="K7" s="41" t="s">
        <v>121</v>
      </c>
      <c r="M7" s="91" t="s">
        <v>345</v>
      </c>
      <c r="N7" s="91" t="s">
        <v>346</v>
      </c>
      <c r="O7" s="91" t="s">
        <v>347</v>
      </c>
      <c r="P7" s="91" t="s">
        <v>348</v>
      </c>
      <c r="Q7" s="91" t="s">
        <v>349</v>
      </c>
      <c r="R7" s="92" t="s">
        <v>390</v>
      </c>
    </row>
    <row r="8" spans="1:18" x14ac:dyDescent="0.3">
      <c r="A8" s="41" t="s">
        <v>122</v>
      </c>
      <c r="C8" s="41" t="s">
        <v>123</v>
      </c>
      <c r="E8" s="41" t="s">
        <v>124</v>
      </c>
      <c r="G8" s="41" t="s">
        <v>125</v>
      </c>
      <c r="M8" s="91" t="s">
        <v>350</v>
      </c>
      <c r="N8" s="91" t="s">
        <v>351</v>
      </c>
      <c r="O8" s="91" t="s">
        <v>352</v>
      </c>
      <c r="P8" s="91" t="s">
        <v>353</v>
      </c>
      <c r="Q8" s="91" t="s">
        <v>354</v>
      </c>
      <c r="R8" s="92" t="s">
        <v>391</v>
      </c>
    </row>
    <row r="9" spans="1:18" x14ac:dyDescent="0.3">
      <c r="C9" s="41" t="s">
        <v>126</v>
      </c>
      <c r="E9" s="41" t="s">
        <v>127</v>
      </c>
      <c r="G9" s="41" t="s">
        <v>128</v>
      </c>
      <c r="M9" s="91" t="s">
        <v>355</v>
      </c>
      <c r="N9" s="91" t="s">
        <v>356</v>
      </c>
      <c r="O9" s="91" t="s">
        <v>357</v>
      </c>
      <c r="P9" s="91" t="s">
        <v>358</v>
      </c>
      <c r="Q9" s="91" t="s">
        <v>359</v>
      </c>
      <c r="R9" s="92" t="s">
        <v>392</v>
      </c>
    </row>
    <row r="10" spans="1:18" x14ac:dyDescent="0.3">
      <c r="E10" s="41" t="s">
        <v>129</v>
      </c>
      <c r="G10" s="41" t="s">
        <v>130</v>
      </c>
      <c r="M10" s="91" t="s">
        <v>360</v>
      </c>
      <c r="N10" s="91" t="s">
        <v>361</v>
      </c>
      <c r="O10" s="91" t="s">
        <v>362</v>
      </c>
      <c r="P10" s="91" t="s">
        <v>363</v>
      </c>
      <c r="Q10" s="91" t="s">
        <v>359</v>
      </c>
      <c r="R10" s="92" t="s">
        <v>393</v>
      </c>
    </row>
    <row r="11" spans="1:18" x14ac:dyDescent="0.3">
      <c r="E11" s="41" t="s">
        <v>131</v>
      </c>
      <c r="G11" s="41" t="s">
        <v>132</v>
      </c>
      <c r="M11" s="91" t="s">
        <v>364</v>
      </c>
      <c r="N11" s="91" t="s">
        <v>365</v>
      </c>
      <c r="O11" s="91" t="s">
        <v>366</v>
      </c>
      <c r="P11" s="91" t="s">
        <v>367</v>
      </c>
      <c r="Q11" s="91" t="s">
        <v>359</v>
      </c>
      <c r="R11" s="92" t="s">
        <v>394</v>
      </c>
    </row>
    <row r="12" spans="1:18" x14ac:dyDescent="0.3">
      <c r="E12" s="41" t="s">
        <v>131</v>
      </c>
      <c r="G12" s="41" t="s">
        <v>133</v>
      </c>
      <c r="M12" s="91" t="s">
        <v>368</v>
      </c>
      <c r="N12" s="91" t="s">
        <v>369</v>
      </c>
      <c r="O12" s="91" t="s">
        <v>370</v>
      </c>
      <c r="P12" s="117" t="s">
        <v>371</v>
      </c>
      <c r="Q12" s="91" t="s">
        <v>372</v>
      </c>
      <c r="R12" s="92" t="s">
        <v>395</v>
      </c>
    </row>
    <row r="13" spans="1:18" x14ac:dyDescent="0.3">
      <c r="E13" s="41" t="s">
        <v>134</v>
      </c>
      <c r="G13" s="41" t="s">
        <v>135</v>
      </c>
      <c r="M13" s="91" t="s">
        <v>373</v>
      </c>
      <c r="N13" s="91" t="s">
        <v>374</v>
      </c>
      <c r="O13" s="91" t="s">
        <v>375</v>
      </c>
      <c r="P13" s="91" t="s">
        <v>376</v>
      </c>
      <c r="Q13" s="91" t="s">
        <v>372</v>
      </c>
      <c r="R13" s="92" t="s">
        <v>396</v>
      </c>
    </row>
    <row r="14" spans="1:18" x14ac:dyDescent="0.3">
      <c r="E14" s="41" t="s">
        <v>136</v>
      </c>
      <c r="G14" s="41" t="s">
        <v>137</v>
      </c>
      <c r="M14" s="91" t="s">
        <v>377</v>
      </c>
      <c r="N14" s="91" t="s">
        <v>378</v>
      </c>
      <c r="O14" s="91" t="s">
        <v>379</v>
      </c>
      <c r="P14" s="91" t="s">
        <v>380</v>
      </c>
      <c r="Q14" s="91" t="s">
        <v>372</v>
      </c>
      <c r="R14" s="93" t="s">
        <v>396</v>
      </c>
    </row>
    <row r="15" spans="1:18" x14ac:dyDescent="0.3">
      <c r="E15" s="41" t="s">
        <v>138</v>
      </c>
      <c r="G15" s="41" t="s">
        <v>139</v>
      </c>
      <c r="M15" s="91" t="s">
        <v>381</v>
      </c>
      <c r="N15" s="91" t="s">
        <v>382</v>
      </c>
      <c r="O15" s="91" t="s">
        <v>128</v>
      </c>
      <c r="P15" s="91" t="s">
        <v>383</v>
      </c>
      <c r="Q15" s="91" t="s">
        <v>329</v>
      </c>
      <c r="R15" s="93" t="s">
        <v>397</v>
      </c>
    </row>
    <row r="16" spans="1:18" x14ac:dyDescent="0.3">
      <c r="E16" s="41" t="s">
        <v>140</v>
      </c>
      <c r="G16" s="41" t="s">
        <v>141</v>
      </c>
      <c r="M16" s="91" t="s">
        <v>384</v>
      </c>
      <c r="N16" s="91" t="s">
        <v>407</v>
      </c>
      <c r="O16" s="91" t="s">
        <v>406</v>
      </c>
      <c r="P16" s="91" t="s">
        <v>384</v>
      </c>
      <c r="Q16" s="91" t="s">
        <v>349</v>
      </c>
      <c r="R16" s="94" t="s">
        <v>384</v>
      </c>
    </row>
    <row r="17" spans="5:7" x14ac:dyDescent="0.3">
      <c r="E17" s="41" t="s">
        <v>142</v>
      </c>
      <c r="G17" s="41" t="s">
        <v>143</v>
      </c>
    </row>
    <row r="18" spans="5:7" x14ac:dyDescent="0.3">
      <c r="E18" s="41" t="s">
        <v>144</v>
      </c>
      <c r="G18" s="41" t="s">
        <v>145</v>
      </c>
    </row>
    <row r="19" spans="5:7" x14ac:dyDescent="0.3">
      <c r="E19" s="41" t="s">
        <v>146</v>
      </c>
      <c r="G19" s="41" t="s">
        <v>147</v>
      </c>
    </row>
    <row r="20" spans="5:7" x14ac:dyDescent="0.3">
      <c r="E20" s="41" t="s">
        <v>148</v>
      </c>
      <c r="G20" s="41" t="s">
        <v>149</v>
      </c>
    </row>
    <row r="21" spans="5:7" x14ac:dyDescent="0.3">
      <c r="E21" s="41" t="s">
        <v>150</v>
      </c>
      <c r="G21" s="41" t="s">
        <v>151</v>
      </c>
    </row>
    <row r="22" spans="5:7" x14ac:dyDescent="0.3">
      <c r="E22" s="41" t="s">
        <v>152</v>
      </c>
      <c r="G22" s="41" t="s">
        <v>153</v>
      </c>
    </row>
    <row r="23" spans="5:7" x14ac:dyDescent="0.3">
      <c r="E23" s="41" t="s">
        <v>154</v>
      </c>
      <c r="G23" s="41" t="s">
        <v>155</v>
      </c>
    </row>
    <row r="24" spans="5:7" x14ac:dyDescent="0.3">
      <c r="E24" s="41" t="s">
        <v>156</v>
      </c>
      <c r="G24" s="41" t="s">
        <v>157</v>
      </c>
    </row>
    <row r="25" spans="5:7" x14ac:dyDescent="0.3">
      <c r="E25" s="41" t="s">
        <v>158</v>
      </c>
      <c r="G25" s="41" t="s">
        <v>159</v>
      </c>
    </row>
    <row r="26" spans="5:7" x14ac:dyDescent="0.3">
      <c r="E26" s="41" t="s">
        <v>160</v>
      </c>
      <c r="G26" s="41" t="s">
        <v>161</v>
      </c>
    </row>
    <row r="27" spans="5:7" x14ac:dyDescent="0.3">
      <c r="E27" s="41" t="s">
        <v>162</v>
      </c>
      <c r="G27" s="41" t="s">
        <v>163</v>
      </c>
    </row>
    <row r="28" spans="5:7" x14ac:dyDescent="0.3">
      <c r="E28" s="41" t="s">
        <v>164</v>
      </c>
      <c r="G28" s="41" t="s">
        <v>165</v>
      </c>
    </row>
    <row r="29" spans="5:7" x14ac:dyDescent="0.3">
      <c r="E29" s="41" t="s">
        <v>166</v>
      </c>
      <c r="G29" s="41" t="s">
        <v>167</v>
      </c>
    </row>
    <row r="30" spans="5:7" x14ac:dyDescent="0.3">
      <c r="E30" s="41" t="s">
        <v>168</v>
      </c>
      <c r="G30" s="41" t="s">
        <v>169</v>
      </c>
    </row>
    <row r="31" spans="5:7" x14ac:dyDescent="0.3">
      <c r="E31" s="41" t="s">
        <v>170</v>
      </c>
      <c r="G31" s="41" t="s">
        <v>171</v>
      </c>
    </row>
    <row r="32" spans="5:7" x14ac:dyDescent="0.3">
      <c r="E32" s="41" t="s">
        <v>172</v>
      </c>
      <c r="G32" s="41" t="s">
        <v>173</v>
      </c>
    </row>
    <row r="33" spans="5:7" x14ac:dyDescent="0.3">
      <c r="E33" s="41" t="s">
        <v>174</v>
      </c>
      <c r="G33" s="41" t="s">
        <v>175</v>
      </c>
    </row>
    <row r="34" spans="5:7" x14ac:dyDescent="0.3">
      <c r="E34" s="41" t="s">
        <v>176</v>
      </c>
      <c r="G34" s="41" t="s">
        <v>177</v>
      </c>
    </row>
    <row r="35" spans="5:7" x14ac:dyDescent="0.3">
      <c r="E35" s="41" t="s">
        <v>178</v>
      </c>
      <c r="G35" s="41" t="s">
        <v>179</v>
      </c>
    </row>
    <row r="36" spans="5:7" x14ac:dyDescent="0.3">
      <c r="E36" s="41" t="s">
        <v>180</v>
      </c>
      <c r="G36" s="41" t="s">
        <v>181</v>
      </c>
    </row>
    <row r="37" spans="5:7" x14ac:dyDescent="0.3">
      <c r="E37" s="41" t="s">
        <v>182</v>
      </c>
      <c r="G37" s="41" t="s">
        <v>183</v>
      </c>
    </row>
    <row r="38" spans="5:7" x14ac:dyDescent="0.3">
      <c r="E38" s="41" t="s">
        <v>184</v>
      </c>
      <c r="G38" s="41" t="s">
        <v>185</v>
      </c>
    </row>
    <row r="39" spans="5:7" x14ac:dyDescent="0.3">
      <c r="E39" s="41" t="s">
        <v>186</v>
      </c>
      <c r="G39" s="41" t="s">
        <v>187</v>
      </c>
    </row>
    <row r="40" spans="5:7" x14ac:dyDescent="0.3">
      <c r="E40" s="41" t="s">
        <v>188</v>
      </c>
      <c r="G40" s="41" t="s">
        <v>189</v>
      </c>
    </row>
    <row r="41" spans="5:7" x14ac:dyDescent="0.3">
      <c r="E41" s="41" t="s">
        <v>190</v>
      </c>
      <c r="G41" s="41" t="s">
        <v>191</v>
      </c>
    </row>
    <row r="42" spans="5:7" x14ac:dyDescent="0.3">
      <c r="E42" s="41" t="s">
        <v>192</v>
      </c>
      <c r="G42" s="41" t="s">
        <v>193</v>
      </c>
    </row>
    <row r="43" spans="5:7" x14ac:dyDescent="0.3">
      <c r="E43" s="41" t="s">
        <v>194</v>
      </c>
      <c r="G43" s="41" t="s">
        <v>195</v>
      </c>
    </row>
    <row r="44" spans="5:7" x14ac:dyDescent="0.3">
      <c r="E44" s="41" t="s">
        <v>196</v>
      </c>
      <c r="G44" s="41" t="s">
        <v>197</v>
      </c>
    </row>
    <row r="45" spans="5:7" x14ac:dyDescent="0.3">
      <c r="E45" s="41" t="s">
        <v>198</v>
      </c>
      <c r="G45" s="41" t="s">
        <v>199</v>
      </c>
    </row>
    <row r="46" spans="5:7" x14ac:dyDescent="0.3">
      <c r="E46" s="41" t="s">
        <v>200</v>
      </c>
      <c r="G46" s="41" t="s">
        <v>201</v>
      </c>
    </row>
    <row r="47" spans="5:7" x14ac:dyDescent="0.3">
      <c r="E47" s="41" t="s">
        <v>202</v>
      </c>
      <c r="G47" s="41" t="s">
        <v>203</v>
      </c>
    </row>
    <row r="48" spans="5:7" x14ac:dyDescent="0.3">
      <c r="E48" s="41" t="s">
        <v>204</v>
      </c>
      <c r="G48" s="41" t="s">
        <v>205</v>
      </c>
    </row>
    <row r="49" spans="5:7" x14ac:dyDescent="0.3">
      <c r="E49" s="41" t="s">
        <v>206</v>
      </c>
      <c r="G49" s="41" t="s">
        <v>207</v>
      </c>
    </row>
    <row r="50" spans="5:7" x14ac:dyDescent="0.3">
      <c r="E50" s="41" t="s">
        <v>208</v>
      </c>
      <c r="G50" s="41" t="s">
        <v>209</v>
      </c>
    </row>
    <row r="51" spans="5:7" x14ac:dyDescent="0.3">
      <c r="E51" s="41" t="s">
        <v>210</v>
      </c>
      <c r="G51" s="41" t="s">
        <v>211</v>
      </c>
    </row>
    <row r="52" spans="5:7" x14ac:dyDescent="0.3">
      <c r="E52" s="41" t="s">
        <v>212</v>
      </c>
      <c r="G52" s="41" t="s">
        <v>213</v>
      </c>
    </row>
    <row r="53" spans="5:7" x14ac:dyDescent="0.3">
      <c r="E53" s="41" t="s">
        <v>214</v>
      </c>
      <c r="G53" s="41" t="s">
        <v>215</v>
      </c>
    </row>
    <row r="54" spans="5:7" x14ac:dyDescent="0.3">
      <c r="E54" s="41" t="s">
        <v>216</v>
      </c>
      <c r="G54" s="41" t="s">
        <v>217</v>
      </c>
    </row>
    <row r="55" spans="5:7" x14ac:dyDescent="0.3">
      <c r="E55" s="41" t="s">
        <v>218</v>
      </c>
      <c r="G55" s="41" t="s">
        <v>219</v>
      </c>
    </row>
    <row r="56" spans="5:7" x14ac:dyDescent="0.3">
      <c r="E56" s="41" t="s">
        <v>220</v>
      </c>
      <c r="G56" s="41" t="s">
        <v>221</v>
      </c>
    </row>
    <row r="57" spans="5:7" x14ac:dyDescent="0.3">
      <c r="E57" s="41" t="s">
        <v>222</v>
      </c>
      <c r="G57" s="41" t="s">
        <v>223</v>
      </c>
    </row>
    <row r="58" spans="5:7" x14ac:dyDescent="0.3">
      <c r="E58" s="41" t="s">
        <v>224</v>
      </c>
      <c r="G58" s="41" t="s">
        <v>225</v>
      </c>
    </row>
    <row r="59" spans="5:7" x14ac:dyDescent="0.3">
      <c r="E59" s="41" t="s">
        <v>226</v>
      </c>
      <c r="G59" s="41" t="s">
        <v>227</v>
      </c>
    </row>
    <row r="60" spans="5:7" x14ac:dyDescent="0.3">
      <c r="E60" s="41" t="s">
        <v>228</v>
      </c>
      <c r="G60" s="41" t="s">
        <v>229</v>
      </c>
    </row>
    <row r="61" spans="5:7" x14ac:dyDescent="0.3">
      <c r="E61" s="41" t="s">
        <v>230</v>
      </c>
      <c r="G61" s="41" t="s">
        <v>231</v>
      </c>
    </row>
    <row r="62" spans="5:7" x14ac:dyDescent="0.3">
      <c r="E62" s="41" t="s">
        <v>232</v>
      </c>
      <c r="G62" s="41" t="s">
        <v>233</v>
      </c>
    </row>
    <row r="63" spans="5:7" x14ac:dyDescent="0.3">
      <c r="E63" s="41" t="s">
        <v>234</v>
      </c>
      <c r="G63" s="41" t="s">
        <v>235</v>
      </c>
    </row>
    <row r="64" spans="5:7" x14ac:dyDescent="0.3">
      <c r="E64" s="41" t="s">
        <v>236</v>
      </c>
      <c r="G64" s="41" t="s">
        <v>237</v>
      </c>
    </row>
    <row r="65" spans="5:7" x14ac:dyDescent="0.3">
      <c r="E65" s="41" t="s">
        <v>238</v>
      </c>
      <c r="G65" s="41" t="s">
        <v>239</v>
      </c>
    </row>
    <row r="66" spans="5:7" x14ac:dyDescent="0.3">
      <c r="E66" s="41" t="s">
        <v>240</v>
      </c>
      <c r="G66" s="41" t="s">
        <v>241</v>
      </c>
    </row>
    <row r="67" spans="5:7" x14ac:dyDescent="0.3">
      <c r="E67" s="41" t="s">
        <v>242</v>
      </c>
      <c r="G67" s="41" t="s">
        <v>243</v>
      </c>
    </row>
    <row r="68" spans="5:7" x14ac:dyDescent="0.3">
      <c r="E68" s="41" t="s">
        <v>244</v>
      </c>
      <c r="G68" s="41" t="s">
        <v>245</v>
      </c>
    </row>
    <row r="69" spans="5:7" x14ac:dyDescent="0.3">
      <c r="E69" s="41" t="s">
        <v>246</v>
      </c>
      <c r="G69" s="41" t="s">
        <v>247</v>
      </c>
    </row>
    <row r="70" spans="5:7" x14ac:dyDescent="0.3">
      <c r="E70" s="41" t="s">
        <v>248</v>
      </c>
      <c r="G70" s="41" t="s">
        <v>249</v>
      </c>
    </row>
    <row r="71" spans="5:7" x14ac:dyDescent="0.3">
      <c r="E71" s="41" t="s">
        <v>250</v>
      </c>
      <c r="G71" s="41" t="s">
        <v>251</v>
      </c>
    </row>
    <row r="72" spans="5:7" x14ac:dyDescent="0.3">
      <c r="E72" s="41" t="s">
        <v>252</v>
      </c>
      <c r="G72" s="41" t="s">
        <v>253</v>
      </c>
    </row>
    <row r="73" spans="5:7" x14ac:dyDescent="0.3">
      <c r="E73" s="41" t="s">
        <v>254</v>
      </c>
      <c r="G73" s="41" t="s">
        <v>255</v>
      </c>
    </row>
    <row r="74" spans="5:7" x14ac:dyDescent="0.3">
      <c r="E74" s="41" t="s">
        <v>256</v>
      </c>
      <c r="G74" s="41" t="s">
        <v>257</v>
      </c>
    </row>
    <row r="75" spans="5:7" x14ac:dyDescent="0.3">
      <c r="E75" s="41" t="s">
        <v>258</v>
      </c>
      <c r="G75" s="41" t="s">
        <v>259</v>
      </c>
    </row>
    <row r="76" spans="5:7" x14ac:dyDescent="0.3">
      <c r="E76" s="41" t="s">
        <v>260</v>
      </c>
      <c r="G76" s="41" t="s">
        <v>261</v>
      </c>
    </row>
    <row r="77" spans="5:7" x14ac:dyDescent="0.3">
      <c r="E77" s="41" t="s">
        <v>262</v>
      </c>
      <c r="G77" s="41" t="s">
        <v>263</v>
      </c>
    </row>
    <row r="78" spans="5:7" x14ac:dyDescent="0.3">
      <c r="E78" s="41" t="s">
        <v>264</v>
      </c>
      <c r="G78" s="41" t="s">
        <v>265</v>
      </c>
    </row>
    <row r="79" spans="5:7" x14ac:dyDescent="0.3">
      <c r="E79" s="41" t="s">
        <v>266</v>
      </c>
      <c r="G79" s="41" t="s">
        <v>267</v>
      </c>
    </row>
    <row r="80" spans="5:7" x14ac:dyDescent="0.3">
      <c r="E80" s="41" t="s">
        <v>268</v>
      </c>
      <c r="G80" s="41" t="s">
        <v>269</v>
      </c>
    </row>
    <row r="81" spans="5:5" x14ac:dyDescent="0.3">
      <c r="E81" s="41" t="s">
        <v>270</v>
      </c>
    </row>
    <row r="82" spans="5:5" x14ac:dyDescent="0.3">
      <c r="E82" s="41" t="s">
        <v>271</v>
      </c>
    </row>
    <row r="83" spans="5:5" x14ac:dyDescent="0.3">
      <c r="E83" s="41" t="s">
        <v>272</v>
      </c>
    </row>
    <row r="84" spans="5:5" x14ac:dyDescent="0.3">
      <c r="E84" s="41" t="s">
        <v>273</v>
      </c>
    </row>
    <row r="85" spans="5:5" x14ac:dyDescent="0.3">
      <c r="E85" s="41" t="s">
        <v>274</v>
      </c>
    </row>
    <row r="86" spans="5:5" x14ac:dyDescent="0.3">
      <c r="E86" s="41" t="s">
        <v>275</v>
      </c>
    </row>
    <row r="87" spans="5:5" x14ac:dyDescent="0.3">
      <c r="E87" s="41" t="s">
        <v>276</v>
      </c>
    </row>
    <row r="88" spans="5:5" x14ac:dyDescent="0.3">
      <c r="E88" s="41" t="s">
        <v>277</v>
      </c>
    </row>
    <row r="89" spans="5:5" x14ac:dyDescent="0.3">
      <c r="E89" s="41" t="s">
        <v>278</v>
      </c>
    </row>
    <row r="90" spans="5:5" x14ac:dyDescent="0.3">
      <c r="E90" s="41" t="s">
        <v>279</v>
      </c>
    </row>
    <row r="91" spans="5:5" x14ac:dyDescent="0.3">
      <c r="E91" s="41" t="s">
        <v>280</v>
      </c>
    </row>
    <row r="92" spans="5:5" x14ac:dyDescent="0.3">
      <c r="E92" s="41" t="s">
        <v>281</v>
      </c>
    </row>
    <row r="93" spans="5:5" x14ac:dyDescent="0.3">
      <c r="E93" s="41" t="s">
        <v>282</v>
      </c>
    </row>
    <row r="94" spans="5:5" x14ac:dyDescent="0.3">
      <c r="E94" s="41" t="s">
        <v>283</v>
      </c>
    </row>
    <row r="95" spans="5:5" x14ac:dyDescent="0.3">
      <c r="E95" s="41" t="s">
        <v>284</v>
      </c>
    </row>
    <row r="96" spans="5:5" x14ac:dyDescent="0.3">
      <c r="E96" s="41" t="s">
        <v>285</v>
      </c>
    </row>
    <row r="97" spans="5:5" x14ac:dyDescent="0.3">
      <c r="E97" s="41" t="s">
        <v>286</v>
      </c>
    </row>
    <row r="98" spans="5:5" x14ac:dyDescent="0.3">
      <c r="E98" s="41" t="s">
        <v>287</v>
      </c>
    </row>
    <row r="99" spans="5:5" x14ac:dyDescent="0.3">
      <c r="E99" s="41" t="s">
        <v>288</v>
      </c>
    </row>
    <row r="100" spans="5:5" x14ac:dyDescent="0.3">
      <c r="E100" s="41" t="s">
        <v>289</v>
      </c>
    </row>
    <row r="101" spans="5:5" x14ac:dyDescent="0.3">
      <c r="E101" s="41" t="s">
        <v>290</v>
      </c>
    </row>
    <row r="102" spans="5:5" x14ac:dyDescent="0.3">
      <c r="E102" s="41" t="s">
        <v>291</v>
      </c>
    </row>
    <row r="103" spans="5:5" x14ac:dyDescent="0.3">
      <c r="E103" s="41" t="s">
        <v>292</v>
      </c>
    </row>
    <row r="104" spans="5:5" x14ac:dyDescent="0.3">
      <c r="E104" s="41" t="s">
        <v>293</v>
      </c>
    </row>
    <row r="105" spans="5:5" x14ac:dyDescent="0.3">
      <c r="E105" s="41" t="s">
        <v>294</v>
      </c>
    </row>
    <row r="106" spans="5:5" x14ac:dyDescent="0.3">
      <c r="E106" s="41" t="s">
        <v>295</v>
      </c>
    </row>
    <row r="107" spans="5:5" x14ac:dyDescent="0.3">
      <c r="E107" s="41" t="s">
        <v>296</v>
      </c>
    </row>
    <row r="108" spans="5:5" x14ac:dyDescent="0.3">
      <c r="E108" s="41" t="s">
        <v>297</v>
      </c>
    </row>
    <row r="109" spans="5:5" x14ac:dyDescent="0.3">
      <c r="E109" s="41" t="s">
        <v>298</v>
      </c>
    </row>
    <row r="110" spans="5:5" x14ac:dyDescent="0.3">
      <c r="E110" s="41" t="s">
        <v>299</v>
      </c>
    </row>
    <row r="111" spans="5:5" x14ac:dyDescent="0.3">
      <c r="E111" s="41" t="s">
        <v>300</v>
      </c>
    </row>
    <row r="112" spans="5:5" x14ac:dyDescent="0.3">
      <c r="E112" s="41" t="s">
        <v>301</v>
      </c>
    </row>
    <row r="113" spans="5:5" x14ac:dyDescent="0.3">
      <c r="E113" s="41" t="s">
        <v>302</v>
      </c>
    </row>
  </sheetData>
  <hyperlinks>
    <hyperlink ref="P12" r:id="rId1" xr:uid="{0C54B8E6-289B-4BCC-9A6D-071760C4DE7E}"/>
    <hyperlink ref="P2" r:id="rId2" xr:uid="{D80D0EC5-7C76-4C01-AE24-29174E370BFC}"/>
  </hyperlinks>
  <pageMargins left="0.7" right="0.7" top="0.75" bottom="0.75" header="0.3" footer="0.3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MENU</vt:lpstr>
      <vt:lpstr>Daily inventory</vt:lpstr>
      <vt:lpstr>Inventory</vt:lpstr>
      <vt:lpstr>Movement Sheet</vt:lpstr>
      <vt:lpstr>Inventory Log</vt:lpstr>
      <vt:lpstr>Mouvement Log</vt:lpstr>
      <vt:lpstr>Clients</vt:lpstr>
      <vt:lpstr>Depot</vt:lpstr>
      <vt:lpstr>Data!DropDownListRange</vt:lpstr>
      <vt:lpstr>Fournisseur</vt:lpstr>
      <vt:lpstr>Magasin</vt:lpstr>
      <vt:lpstr>Prestataire</vt:lpstr>
      <vt:lpstr>StationSRV</vt:lpstr>
      <vt:lpstr>'Daily inventory'!Zone_d_impression</vt:lpstr>
      <vt:lpstr>'Mouvement Log'!Zone_d_impression</vt:lpstr>
      <vt:lpstr>'Movement Sheet'!Zone_d_impression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Haitham Elabdioui</dc:creator>
  <cp:lastModifiedBy>Haitham Elabdioui</cp:lastModifiedBy>
  <cp:lastPrinted>2024-09-15T14:24:20Z</cp:lastPrinted>
  <dcterms:created xsi:type="dcterms:W3CDTF">2024-07-20T11:15:15Z</dcterms:created>
  <dcterms:modified xsi:type="dcterms:W3CDTF">2024-09-21T14:38:20Z</dcterms:modified>
</cp:coreProperties>
</file>